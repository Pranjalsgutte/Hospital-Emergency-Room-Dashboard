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C:\Users\GAMING 3\Desktop\"/>
    </mc:Choice>
  </mc:AlternateContent>
  <xr:revisionPtr revIDLastSave="0" documentId="13_ncr:1_{896330C4-C934-4116-BAD9-32CB436C777D}" xr6:coauthVersionLast="47" xr6:coauthVersionMax="47" xr10:uidLastSave="{00000000-0000-0000-0000-000000000000}"/>
  <bookViews>
    <workbookView minimized="1" xWindow="5760" yWindow="3360" windowWidth="17280" windowHeight="8880" activeTab="2" xr2:uid="{433D8664-D677-4754-9338-E7604013470C}"/>
  </bookViews>
  <sheets>
    <sheet name="charts" sheetId="8" r:id="rId1"/>
    <sheet name="Pivot Table" sheetId="4" r:id="rId2"/>
    <sheet name="Dashboard" sheetId="6" r:id="rId3"/>
  </sheets>
  <definedNames>
    <definedName name="Slicer_Age_Group">#N/A</definedName>
    <definedName name="Slicer_Dates__Month">#N/A</definedName>
    <definedName name="Slicer_Dates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pivotCache cacheId="13" r:id="rId17"/>
        <pivotCache cacheId="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ac578ec4-7d2d-4307-b209-12dfcc4eb22c" name="Calender_Table" connection="Query - Calender_Table"/>
          <x15:modelTable id="Hospital Emergency Room Data_7596eb83-9d7a-4e25-9f29-83253ac75bde" name="Hospital Emergency Room Data" connection="Query - Hospital Emergency Room Data"/>
        </x15:modelTables>
        <x15:modelRelationships>
          <x15:modelRelationship fromTable="Hospital Emergency Room Data"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0"/>
                <x16:calculatedTimeColumn columnName="Dates (Quarter)" columnId="Dates (Quarter)" contentType="quarters" isSelected="0"/>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1"/>
                <x16:calculatedTimeColumn columnName="Dates (Day)" columnId="Dates (Day)" contentType="days" isSelected="1"/>
              </x16:modelTimeGrouping>
            </x16:modelTimeGroupings>
          </ext>
        </x15:extLst>
      </x15:dataModel>
    </ext>
  </extLst>
</workbook>
</file>

<file path=xl/calcChain.xml><?xml version="1.0" encoding="utf-8"?>
<calcChain xmlns="http://schemas.openxmlformats.org/spreadsheetml/2006/main">
  <c r="B43" i="4" l="1"/>
  <c r="C43" i="4"/>
  <c r="D43" i="4"/>
  <c r="B44" i="4"/>
  <c r="C44" i="4"/>
  <c r="D44" i="4"/>
  <c r="D47" i="4"/>
  <c r="C48" i="4"/>
  <c r="C47" i="4"/>
  <c r="B48" i="4"/>
  <c r="B4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8DA5E-F956-467A-85E5-B1887234AF6A}" name="Query - Calender_Table" description="Connection to the 'Calender_Table' query in the workbook." type="100" refreshedVersion="8" minRefreshableVersion="5">
    <extLst>
      <ext xmlns:x15="http://schemas.microsoft.com/office/spreadsheetml/2010/11/main" uri="{DE250136-89BD-433C-8126-D09CA5730AF9}">
        <x15:connection id="ee86beef-12d9-4ee8-b5aa-5913cd0c5e67"/>
      </ext>
    </extLst>
  </connection>
  <connection id="2" xr16:uid="{D155A481-5DC7-441B-A1E1-0783C9B7FC3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78a068-7a7e-439b-91d6-4492543daff6"/>
      </ext>
    </extLst>
  </connection>
  <connection id="3" xr16:uid="{F0D72E5C-CE6F-4A68-8B6E-CEABB5F5A1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<sst xmlns="http://schemas.openxmlformats.org/spreadsheetml/2006/main" count="151" uniqueCount="69">
  <si>
    <t>Distinct Count of Patient Id</t>
  </si>
  <si>
    <t>Average of Patient Waittime</t>
  </si>
  <si>
    <t>Average of Patient Satisfaction Score</t>
  </si>
  <si>
    <t>Grand Total</t>
  </si>
  <si>
    <t>Row Labels</t>
  </si>
  <si>
    <t>Male</t>
  </si>
  <si>
    <t>None</t>
  </si>
  <si>
    <t>Admitted</t>
  </si>
  <si>
    <t>60-69</t>
  </si>
  <si>
    <t>Delay</t>
  </si>
  <si>
    <t>70-79</t>
  </si>
  <si>
    <t>10-19</t>
  </si>
  <si>
    <t>Overtime</t>
  </si>
  <si>
    <t>40-49</t>
  </si>
  <si>
    <t>50-59</t>
  </si>
  <si>
    <t>20-29</t>
  </si>
  <si>
    <t>0-9</t>
  </si>
  <si>
    <t>30-39</t>
  </si>
  <si>
    <t>Female</t>
  </si>
  <si>
    <t>Not Admitted</t>
  </si>
  <si>
    <t>No.patient</t>
  </si>
  <si>
    <t>Count of Patient Admission Flag</t>
  </si>
  <si>
    <t>Count of Patient Admission Flag2</t>
  </si>
  <si>
    <t>Admission Status</t>
  </si>
  <si>
    <t>No.of Patient</t>
  </si>
  <si>
    <t>% Status</t>
  </si>
  <si>
    <t>Charts</t>
  </si>
  <si>
    <t>Count of Patient Age</t>
  </si>
  <si>
    <t>Count of Patient Attend Status</t>
  </si>
  <si>
    <t>Count of Patient Gender</t>
  </si>
  <si>
    <t>Cardiology</t>
  </si>
  <si>
    <t>Gastroenterology</t>
  </si>
  <si>
    <t>General Practice</t>
  </si>
  <si>
    <t>Neurology</t>
  </si>
  <si>
    <t>Orthopedics</t>
  </si>
  <si>
    <t>Physiotherapy</t>
  </si>
  <si>
    <t>Renal</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</si>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</sst>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2" tint="-0.249977111117893"/>
      <name val="Calibri"/>
      <family val="2"/>
      <scheme val="minor"/>
    </font>
    <font>
      <b/>
      <sz val="11"/>
      <color theme="1"/>
      <name val="Calibri"/>
      <family val="2"/>
      <scheme val="minor"/>
    </font>
    <font>
      <sz val="11"/>
      <color theme="0"/>
      <name val="Calibri"/>
      <family val="2"/>
      <scheme val="minor"/>
    </font>
    <font>
      <sz val="9"/>
      <color theme="2" tint="-0.249977111117893"/>
      <name val="Calibri"/>
      <family val="2"/>
      <scheme val="minor"/>
    </font>
  </fonts>
  <fills count="4">
    <fill>
      <patternFill patternType="none"/>
    </fill>
    <fill>
      <patternFill patternType="gray125"/>
    </fill>
    <fill>
      <patternFill patternType="solid">
        <fgColor rgb="FF122137"/>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2" fontId="0" fillId="0" borderId="0" xfId="0" applyNumberFormat="1"/>
    <xf numFmtId="0" fontId="1" fillId="2" borderId="0" xfId="0" applyFont="1" applyFill="1"/>
    <xf numFmtId="0" fontId="0" fillId="2" borderId="0" xfId="0" applyFill="1"/>
    <xf numFmtId="0" fontId="2" fillId="3" borderId="1" xfId="0" applyFont="1" applyFill="1"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3" fillId="2" borderId="3" xfId="0" applyFont="1" applyFill="1" applyBorder="1" applyAlignment="1">
      <alignment horizontal="center"/>
    </xf>
    <xf numFmtId="1" fontId="3" fillId="2" borderId="3" xfId="0" applyNumberFormat="1" applyFont="1" applyFill="1" applyBorder="1" applyAlignment="1">
      <alignment horizontal="center"/>
    </xf>
    <xf numFmtId="10" fontId="3" fillId="2" borderId="3" xfId="0" applyNumberFormat="1" applyFont="1" applyFill="1" applyBorder="1" applyAlignment="1">
      <alignment horizontal="center"/>
    </xf>
    <xf numFmtId="0" fontId="3" fillId="2" borderId="3" xfId="0" applyFont="1" applyFill="1" applyBorder="1" applyAlignment="1" applyProtection="1">
      <alignment horizontal="center"/>
      <protection locked="0"/>
    </xf>
    <xf numFmtId="0" fontId="2" fillId="3" borderId="2" xfId="0" applyFont="1" applyFill="1" applyBorder="1" applyAlignment="1">
      <alignment horizontal="left"/>
    </xf>
    <xf numFmtId="2" fontId="2" fillId="3" borderId="2" xfId="0" applyNumberFormat="1" applyFont="1" applyFill="1" applyBorder="1"/>
    <xf numFmtId="0" fontId="4" fillId="2" borderId="0" xfId="0" applyFont="1" applyFill="1"/>
  </cellXfs>
  <cellStyles count="1">
    <cellStyle name="Normal" xfId="0" builtinId="0"/>
  </cellStyles>
  <dxfs count="26">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fill>
        <patternFill>
          <bgColor theme="4" tint="-0.499984740745262"/>
        </patternFill>
      </fill>
    </dxf>
    <dxf>
      <font>
        <b/>
        <i val="0"/>
        <sz val="14"/>
        <name val="Calibri"/>
        <family val="2"/>
        <scheme val="minor"/>
      </font>
    </dxf>
    <dxf>
      <fill>
        <patternFill>
          <bgColor rgb="FF122137"/>
        </patternFill>
      </fill>
    </dxf>
    <dxf>
      <font>
        <sz val="10"/>
      </font>
    </dxf>
    <dxf>
      <border diagonalUp="0" diagonalDown="0">
        <left/>
        <right/>
        <top/>
        <bottom/>
        <vertical/>
        <horizontal/>
      </border>
    </dxf>
    <dxf>
      <font>
        <b/>
        <i val="0"/>
        <sz val="14"/>
        <color theme="0"/>
        <name val="Calibri"/>
        <family val="2"/>
        <scheme val="minor"/>
      </font>
      <fill>
        <patternFill>
          <bgColor rgb="FF122137"/>
        </patternFill>
      </fill>
    </dxf>
  </dxfs>
  <tableStyles count="10" defaultTableStyle="TableStyleMedium2" defaultPivotStyle="PivotStyleLight16">
    <tableStyle name="my style" pivot="0" table="0" count="2" xr9:uid="{FDF47746-A4BA-491D-B873-8FCD48341E6A}">
      <tableStyleElement type="wholeTable" dxfId="25"/>
    </tableStyle>
    <tableStyle name="Slicer Style 1" pivot="0" table="0" count="0" xr9:uid="{1F448B01-2863-4977-9C3F-E9E720C3B0B0}"/>
    <tableStyle name="Slicer Style 2" pivot="0" table="0" count="1" xr9:uid="{6E969BFD-1C35-4A2E-94D2-3BE58149DCD7}">
      <tableStyleElement type="wholeTable" dxfId="24"/>
    </tableStyle>
    <tableStyle name="Slicer Style 3" pivot="0" table="0" count="1" xr9:uid="{E17F4B1E-AC22-4631-B24B-D5D73CAF6B1F}">
      <tableStyleElement type="wholeTable" dxfId="23"/>
    </tableStyle>
    <tableStyle name="Slicer Style 4" pivot="0" table="0" count="1" xr9:uid="{6FEAF0E6-F220-4884-92AB-42557B8DA2B4}">
      <tableStyleElement type="wholeTable" dxfId="22"/>
    </tableStyle>
    <tableStyle name="Slicer Style 5" pivot="0" table="0" count="1" xr9:uid="{7FF3851B-0910-4155-9277-D59FDCF1A6D3}"/>
    <tableStyle name="Slicer Style 6" pivot="0" table="0" count="1" xr9:uid="{8F68DE13-6C42-4B2E-A31A-87CD6E4C3A0B}"/>
    <tableStyle name="Slicer Style 7" pivot="0" table="0" count="1" xr9:uid="{AA5FDAFA-8131-43D1-B4D3-5C0DC8687D15}">
      <tableStyleElement type="wholeTable" dxfId="21"/>
    </tableStyle>
    <tableStyle name="Slicer Style 8" pivot="0" table="0" count="1" xr9:uid="{BD623B7A-4029-4635-A573-3BEB7E781C48}">
      <tableStyleElement type="wholeTable" dxfId="20"/>
    </tableStyle>
    <tableStyle name="Slicer Style 9" pivot="0" table="0" count="1" xr9:uid="{F6357064-2C64-41B7-8BB6-18EB8A3109F2}"/>
  </tableStyles>
  <colors>
    <mruColors>
      <color rgb="FFFFFFFF"/>
      <color rgb="FF122137"/>
      <color rgb="FFF8FAFC"/>
      <color rgb="FF193146"/>
    </mruColors>
  </colors>
  <extLst>
    <ext xmlns:x14="http://schemas.microsoft.com/office/spreadsheetml/2009/9/main" uri="{46F421CA-312F-682f-3DD2-61675219B42D}">
      <x14:dxfs count="4">
        <dxf>
          <border>
            <left style="thin">
              <color auto="1"/>
            </left>
            <right style="thin">
              <color auto="1"/>
            </right>
            <top style="thin">
              <color auto="1"/>
            </top>
            <bottom style="thin">
              <color auto="1"/>
            </bottom>
          </border>
        </dxf>
        <dxf>
          <fill>
            <patternFill>
              <bgColor rgb="FFFFFFFF"/>
            </patternFill>
          </fill>
        </dxf>
        <dxf>
          <fill>
            <patternFill>
              <bgColor rgb="FFFFFFFF"/>
            </patternFill>
          </fill>
        </dxf>
        <dxf>
          <border>
            <left style="thin">
              <color theme="3" tint="0.59996337778862885"/>
            </left>
            <right style="thin">
              <color theme="3" tint="0.59996337778862885"/>
            </right>
            <top style="thin">
              <color theme="3" tint="0.59996337778862885"/>
            </top>
            <bottom style="thin">
              <color theme="3" tint="0.59996337778862885"/>
            </bottom>
          </border>
        </dxf>
      </x14:dxfs>
    </ext>
    <ext xmlns:x14="http://schemas.microsoft.com/office/spreadsheetml/2009/9/main" uri="{EB79DEF2-80B8-43e5-95BD-54CBDDF9020C}">
      <x14:slicerStyles defaultSlicerStyle="SlicerStyleLight1">
        <x14:slicerStyle name="my style">
          <x14:slicerStyleElements>
            <x14:slicerStyleElement type="selectedItemWithData" dxfId="3"/>
          </x14:slicerStyleElements>
        </x14:slicerStyle>
        <x14:slicerStyle name="Slicer Style 1"/>
        <x14:slicerStyle name="Slicer Style 2"/>
        <x14:slicerStyle name="Slicer Style 3"/>
        <x14:slicerStyle name="Slicer Style 4"/>
        <x14:slicerStyle name="Slicer Style 5">
          <x14:slicerStyleElements>
            <x14:slicerStyleElement type="selectedItemWithData" dxfId="2"/>
          </x14:slicerStyleElements>
        </x14:slicerStyle>
        <x14:slicerStyle name="Slicer Style 6">
          <x14:slicerStyleElements>
            <x14:slicerStyleElement type="unselectedItemWithData" dxfId="1"/>
          </x14:slicerStyleElements>
        </x14:slicerStyle>
        <x14:slicerStyle name="Slicer Style 7"/>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microsoft.com/office/2017/10/relationships/person" Target="persons/person.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Table!PivotTable1</c:name>
    <c:fmtId val="1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Table'!$E$3</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Table'!$E$4:$E$34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3441-4939-B570-25A1C721FFA7}"/>
            </c:ext>
          </c:extLst>
        </c:ser>
        <c:dLbls>
          <c:showLegendKey val="0"/>
          <c:showVal val="1"/>
          <c:showCatName val="0"/>
          <c:showSerName val="0"/>
          <c:showPercent val="0"/>
          <c:showBubbleSize val="0"/>
        </c:dLbls>
        <c:axId val="855940943"/>
        <c:axId val="1786999791"/>
      </c:areaChart>
      <c:catAx>
        <c:axId val="8559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6999791"/>
        <c:crosses val="autoZero"/>
        <c:auto val="1"/>
        <c:lblAlgn val="ctr"/>
        <c:lblOffset val="100"/>
        <c:noMultiLvlLbl val="0"/>
      </c:catAx>
      <c:valAx>
        <c:axId val="178699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559409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Table!PivotTable3</c:name>
    <c:fmtId val="3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Table'!$G$4:$G$34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Table'!$H$4:$H$34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B6AB-4EA0-A49C-2F73B988619C}"/>
            </c:ext>
          </c:extLst>
        </c:ser>
        <c:dLbls>
          <c:showLegendKey val="0"/>
          <c:showVal val="0"/>
          <c:showCatName val="0"/>
          <c:showSerName val="0"/>
          <c:showPercent val="0"/>
          <c:showBubbleSize val="0"/>
        </c:dLbls>
        <c:axId val="855944303"/>
        <c:axId val="1381747247"/>
      </c:areaChart>
      <c:catAx>
        <c:axId val="8559443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47247"/>
        <c:crosses val="autoZero"/>
        <c:auto val="1"/>
        <c:lblAlgn val="ctr"/>
        <c:lblOffset val="100"/>
        <c:noMultiLvlLbl val="0"/>
      </c:catAx>
      <c:valAx>
        <c:axId val="1381747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9443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Table!PivotTable6</c:name>
    <c:fmtId val="2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Table'!$J$4:$J$34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Table'!$K$4:$K$34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BA0E-419C-A43D-027490EAD31A}"/>
            </c:ext>
          </c:extLst>
        </c:ser>
        <c:dLbls>
          <c:showLegendKey val="0"/>
          <c:showVal val="0"/>
          <c:showCatName val="0"/>
          <c:showSerName val="0"/>
          <c:showPercent val="0"/>
          <c:showBubbleSize val="0"/>
        </c:dLbls>
        <c:axId val="1526328847"/>
        <c:axId val="1387646095"/>
      </c:areaChart>
      <c:catAx>
        <c:axId val="15263288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46095"/>
        <c:crosses val="autoZero"/>
        <c:auto val="1"/>
        <c:lblAlgn val="ctr"/>
        <c:lblOffset val="100"/>
        <c:noMultiLvlLbl val="0"/>
      </c:catAx>
      <c:valAx>
        <c:axId val="138764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288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1"/>
            </a:solidFill>
            <a:ln w="25400">
              <a:noFill/>
            </a:ln>
            <a:effectLst/>
          </c:spPr>
          <c:cat>
            <c:strRef>
              <c:f>'Pivot Table'!$J$4:$J$34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Table'!$K$4:$K$34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74F4-42E3-A893-D30737816449}"/>
            </c:ext>
          </c:extLst>
        </c:ser>
        <c:dLbls>
          <c:showLegendKey val="0"/>
          <c:showVal val="0"/>
          <c:showCatName val="0"/>
          <c:showSerName val="0"/>
          <c:showPercent val="0"/>
          <c:showBubbleSize val="0"/>
        </c:dLbls>
        <c:axId val="933410207"/>
        <c:axId val="1381743279"/>
      </c:areaChart>
      <c:catAx>
        <c:axId val="933410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43279"/>
        <c:crosses val="autoZero"/>
        <c:auto val="1"/>
        <c:lblAlgn val="ctr"/>
        <c:lblOffset val="100"/>
        <c:noMultiLvlLbl val="0"/>
      </c:catAx>
      <c:valAx>
        <c:axId val="1381743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4102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Table!PivotTable7</c:name>
    <c:fmtId val="0"/>
  </c:pivotSource>
  <c:chart>
    <c:autoTitleDeleted val="0"/>
    <c:pivotFmts>
      <c:pivotFmt>
        <c:idx val="0"/>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
          <c:y val="9.1935560683531238E-3"/>
          <c:w val="1"/>
          <c:h val="0.91641423490738538"/>
        </c:manualLayout>
      </c:layout>
      <c:barChart>
        <c:barDir val="bar"/>
        <c:grouping val="clustered"/>
        <c:varyColors val="0"/>
        <c:ser>
          <c:idx val="0"/>
          <c:order val="0"/>
          <c:tx>
            <c:strRef>
              <c:f>'Pivot Table'!$C$36</c:f>
              <c:strCache>
                <c:ptCount val="1"/>
                <c:pt idx="0">
                  <c:v>Count of Patient Admission Flag</c:v>
                </c:pt>
              </c:strCache>
            </c:strRef>
          </c:tx>
          <c:spPr>
            <a:solidFill>
              <a:schemeClr val="accent1">
                <a:shade val="76000"/>
              </a:schemeClr>
            </a:solidFill>
            <a:ln>
              <a:noFill/>
            </a:ln>
            <a:effectLst/>
          </c:spPr>
          <c:invertIfNegative val="0"/>
          <c:cat>
            <c:strRef>
              <c:f>'Pivot Table'!$B$37:$B$39</c:f>
              <c:strCache>
                <c:ptCount val="2"/>
                <c:pt idx="0">
                  <c:v>Admitted</c:v>
                </c:pt>
                <c:pt idx="1">
                  <c:v>Not Admitted</c:v>
                </c:pt>
              </c:strCache>
            </c:strRef>
          </c:cat>
          <c:val>
            <c:numRef>
              <c:f>'Pivot Table'!$C$37:$C$39</c:f>
              <c:numCache>
                <c:formatCode>0</c:formatCode>
                <c:ptCount val="2"/>
                <c:pt idx="0">
                  <c:v>252</c:v>
                </c:pt>
                <c:pt idx="1">
                  <c:v>254</c:v>
                </c:pt>
              </c:numCache>
            </c:numRef>
          </c:val>
          <c:extLst>
            <c:ext xmlns:c16="http://schemas.microsoft.com/office/drawing/2014/chart" uri="{C3380CC4-5D6E-409C-BE32-E72D297353CC}">
              <c16:uniqueId val="{00000007-6E06-4FFA-A527-5550DC6932B2}"/>
            </c:ext>
          </c:extLst>
        </c:ser>
        <c:ser>
          <c:idx val="1"/>
          <c:order val="1"/>
          <c:tx>
            <c:strRef>
              <c:f>'Pivot Table'!$D$36</c:f>
              <c:strCache>
                <c:ptCount val="1"/>
                <c:pt idx="0">
                  <c:v>Count of Patient Admission Flag2</c:v>
                </c:pt>
              </c:strCache>
            </c:strRef>
          </c:tx>
          <c:spPr>
            <a:solidFill>
              <a:schemeClr val="accent1">
                <a:tint val="77000"/>
              </a:schemeClr>
            </a:solidFill>
            <a:ln>
              <a:noFill/>
            </a:ln>
            <a:effectLst/>
          </c:spPr>
          <c:invertIfNegative val="0"/>
          <c:cat>
            <c:strRef>
              <c:f>'Pivot Table'!$B$37:$B$39</c:f>
              <c:strCache>
                <c:ptCount val="2"/>
                <c:pt idx="0">
                  <c:v>Admitted</c:v>
                </c:pt>
                <c:pt idx="1">
                  <c:v>Not Admitted</c:v>
                </c:pt>
              </c:strCache>
            </c:strRef>
          </c:cat>
          <c:val>
            <c:numRef>
              <c:f>'Pivot Table'!$D$37:$D$39</c:f>
              <c:numCache>
                <c:formatCode>0.00%</c:formatCode>
                <c:ptCount val="2"/>
                <c:pt idx="0">
                  <c:v>0.49802371541501977</c:v>
                </c:pt>
                <c:pt idx="1">
                  <c:v>0.50197628458498023</c:v>
                </c:pt>
              </c:numCache>
            </c:numRef>
          </c:val>
          <c:extLst>
            <c:ext xmlns:c16="http://schemas.microsoft.com/office/drawing/2014/chart" uri="{C3380CC4-5D6E-409C-BE32-E72D297353CC}">
              <c16:uniqueId val="{00000008-6E06-4FFA-A527-5550DC6932B2}"/>
            </c:ext>
          </c:extLst>
        </c:ser>
        <c:dLbls>
          <c:showLegendKey val="0"/>
          <c:showVal val="0"/>
          <c:showCatName val="0"/>
          <c:showSerName val="0"/>
          <c:showPercent val="0"/>
          <c:showBubbleSize val="0"/>
        </c:dLbls>
        <c:gapWidth val="0"/>
        <c:axId val="1526326927"/>
        <c:axId val="354406640"/>
      </c:barChart>
      <c:catAx>
        <c:axId val="1526326927"/>
        <c:scaling>
          <c:orientation val="minMax"/>
        </c:scaling>
        <c:delete val="1"/>
        <c:axPos val="l"/>
        <c:numFmt formatCode="General" sourceLinked="1"/>
        <c:majorTickMark val="none"/>
        <c:minorTickMark val="none"/>
        <c:tickLblPos val="nextTo"/>
        <c:crossAx val="354406640"/>
        <c:crosses val="autoZero"/>
        <c:auto val="1"/>
        <c:lblAlgn val="ctr"/>
        <c:lblOffset val="100"/>
        <c:noMultiLvlLbl val="0"/>
      </c:catAx>
      <c:valAx>
        <c:axId val="354406640"/>
        <c:scaling>
          <c:orientation val="minMax"/>
        </c:scaling>
        <c:delete val="1"/>
        <c:axPos val="b"/>
        <c:numFmt formatCode="0" sourceLinked="1"/>
        <c:majorTickMark val="none"/>
        <c:minorTickMark val="none"/>
        <c:tickLblPos val="nextTo"/>
        <c:crossAx val="152632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Table!PivotTable1</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38589084659476E-2"/>
          <c:y val="4.7415028922236549E-2"/>
          <c:w val="0.891239985622169"/>
          <c:h val="0.95258497107776341"/>
        </c:manualLayout>
      </c:layout>
      <c:areaChart>
        <c:grouping val="standard"/>
        <c:varyColors val="0"/>
        <c:ser>
          <c:idx val="0"/>
          <c:order val="0"/>
          <c:tx>
            <c:strRef>
              <c:f>'Pivot Table'!$E$3</c:f>
              <c:strCache>
                <c:ptCount val="1"/>
                <c:pt idx="0">
                  <c:v>Total</c:v>
                </c:pt>
              </c:strCache>
            </c:strRef>
          </c:tx>
          <c:spPr>
            <a:solidFill>
              <a:schemeClr val="accent1"/>
            </a:solidFill>
            <a:ln w="25400">
              <a:noFill/>
            </a:ln>
            <a:effectLst/>
          </c:spPr>
          <c:cat>
            <c:strRef>
              <c:f>'Pivot Table'!$D$4:$D$34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Table'!$E$4:$E$34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3-79D7-4FD0-8AA5-8F0CAB2CE0DC}"/>
            </c:ext>
          </c:extLst>
        </c:ser>
        <c:dLbls>
          <c:showLegendKey val="0"/>
          <c:showVal val="0"/>
          <c:showCatName val="0"/>
          <c:showSerName val="0"/>
          <c:showPercent val="0"/>
          <c:showBubbleSize val="0"/>
        </c:dLbls>
        <c:axId val="933407327"/>
        <c:axId val="931307967"/>
      </c:areaChart>
      <c:catAx>
        <c:axId val="933407327"/>
        <c:scaling>
          <c:orientation val="minMax"/>
        </c:scaling>
        <c:delete val="1"/>
        <c:axPos val="b"/>
        <c:numFmt formatCode="General" sourceLinked="1"/>
        <c:majorTickMark val="out"/>
        <c:minorTickMark val="none"/>
        <c:tickLblPos val="nextTo"/>
        <c:crossAx val="931307967"/>
        <c:crosses val="autoZero"/>
        <c:auto val="1"/>
        <c:lblAlgn val="ctr"/>
        <c:lblOffset val="100"/>
        <c:noMultiLvlLbl val="0"/>
      </c:catAx>
      <c:valAx>
        <c:axId val="931307967"/>
        <c:scaling>
          <c:orientation val="minMax"/>
        </c:scaling>
        <c:delete val="1"/>
        <c:axPos val="l"/>
        <c:numFmt formatCode="General" sourceLinked="1"/>
        <c:majorTickMark val="out"/>
        <c:minorTickMark val="none"/>
        <c:tickLblPos val="nextTo"/>
        <c:crossAx val="933407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Table!PivotTable3</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7069415586748"/>
          <c:y val="0.26459949500427171"/>
          <c:w val="0.85362914844016036"/>
          <c:h val="0.66168369631264201"/>
        </c:manualLayout>
      </c:layout>
      <c:areaChart>
        <c:grouping val="standard"/>
        <c:varyColors val="0"/>
        <c:ser>
          <c:idx val="0"/>
          <c:order val="0"/>
          <c:tx>
            <c:strRef>
              <c:f>'Pivot Table'!$H$3</c:f>
              <c:strCache>
                <c:ptCount val="1"/>
                <c:pt idx="0">
                  <c:v>Total</c:v>
                </c:pt>
              </c:strCache>
            </c:strRef>
          </c:tx>
          <c:spPr>
            <a:solidFill>
              <a:schemeClr val="accent1"/>
            </a:solidFill>
            <a:ln w="25400">
              <a:noFill/>
            </a:ln>
            <a:effectLst/>
          </c:spPr>
          <c:cat>
            <c:strRef>
              <c:f>'Pivot Table'!$G$4:$G$34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Table'!$H$4:$H$34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3-944B-4D18-AC41-A33FF4652F8A}"/>
            </c:ext>
          </c:extLst>
        </c:ser>
        <c:dLbls>
          <c:showLegendKey val="0"/>
          <c:showVal val="0"/>
          <c:showCatName val="0"/>
          <c:showSerName val="0"/>
          <c:showPercent val="0"/>
          <c:showBubbleSize val="0"/>
        </c:dLbls>
        <c:axId val="1786281455"/>
        <c:axId val="931298047"/>
      </c:areaChart>
      <c:catAx>
        <c:axId val="1786281455"/>
        <c:scaling>
          <c:orientation val="minMax"/>
        </c:scaling>
        <c:delete val="1"/>
        <c:axPos val="b"/>
        <c:numFmt formatCode="General" sourceLinked="1"/>
        <c:majorTickMark val="out"/>
        <c:minorTickMark val="none"/>
        <c:tickLblPos val="nextTo"/>
        <c:crossAx val="931298047"/>
        <c:crosses val="autoZero"/>
        <c:auto val="1"/>
        <c:lblAlgn val="ctr"/>
        <c:lblOffset val="100"/>
        <c:noMultiLvlLbl val="0"/>
      </c:catAx>
      <c:valAx>
        <c:axId val="931298047"/>
        <c:scaling>
          <c:orientation val="minMax"/>
        </c:scaling>
        <c:delete val="1"/>
        <c:axPos val="l"/>
        <c:numFmt formatCode="0.00" sourceLinked="1"/>
        <c:majorTickMark val="none"/>
        <c:minorTickMark val="none"/>
        <c:tickLblPos val="nextTo"/>
        <c:crossAx val="17862814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4334594437284333"/>
          <c:w val="0.99471610945891298"/>
          <c:h val="0.605983091230615"/>
        </c:manualLayout>
      </c:layout>
      <c:areaChart>
        <c:grouping val="standard"/>
        <c:varyColors val="0"/>
        <c:ser>
          <c:idx val="0"/>
          <c:order val="0"/>
          <c:tx>
            <c:strRef>
              <c:f>'Pivot Table'!$K$3</c:f>
              <c:strCache>
                <c:ptCount val="1"/>
                <c:pt idx="0">
                  <c:v>Total</c:v>
                </c:pt>
              </c:strCache>
            </c:strRef>
          </c:tx>
          <c:spPr>
            <a:solidFill>
              <a:schemeClr val="accent1"/>
            </a:solidFill>
            <a:ln w="25400">
              <a:noFill/>
            </a:ln>
            <a:effectLst/>
          </c:spPr>
          <c:cat>
            <c:strRef>
              <c:f>'Pivot Table'!$J$4:$J$34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Table'!$K$4:$K$34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3-2B9F-4480-93D4-AD21963C08B9}"/>
            </c:ext>
          </c:extLst>
        </c:ser>
        <c:dLbls>
          <c:showLegendKey val="0"/>
          <c:showVal val="0"/>
          <c:showCatName val="0"/>
          <c:showSerName val="0"/>
          <c:showPercent val="0"/>
          <c:showBubbleSize val="0"/>
        </c:dLbls>
        <c:axId val="933410207"/>
        <c:axId val="1381743279"/>
      </c:areaChart>
      <c:catAx>
        <c:axId val="933410207"/>
        <c:scaling>
          <c:orientation val="minMax"/>
        </c:scaling>
        <c:delete val="1"/>
        <c:axPos val="b"/>
        <c:numFmt formatCode="General" sourceLinked="1"/>
        <c:majorTickMark val="out"/>
        <c:minorTickMark val="none"/>
        <c:tickLblPos val="nextTo"/>
        <c:crossAx val="1381743279"/>
        <c:crosses val="autoZero"/>
        <c:auto val="1"/>
        <c:lblAlgn val="ctr"/>
        <c:lblOffset val="100"/>
        <c:noMultiLvlLbl val="0"/>
      </c:catAx>
      <c:valAx>
        <c:axId val="1381743279"/>
        <c:scaling>
          <c:orientation val="minMax"/>
        </c:scaling>
        <c:delete val="1"/>
        <c:axPos val="l"/>
        <c:numFmt formatCode="0.00" sourceLinked="1"/>
        <c:majorTickMark val="none"/>
        <c:minorTickMark val="none"/>
        <c:tickLblPos val="nextTo"/>
        <c:crossAx val="9334102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79905266432684E-2"/>
          <c:y val="6.279047218145363E-2"/>
          <c:w val="0.8664782732350218"/>
          <c:h val="0.69755352155575168"/>
        </c:manualLayout>
      </c:layout>
      <c:barChart>
        <c:barDir val="col"/>
        <c:grouping val="clustered"/>
        <c:varyColors val="0"/>
        <c:ser>
          <c:idx val="0"/>
          <c:order val="0"/>
          <c:tx>
            <c:strRef>
              <c:f>'Pivot Table'!$H$47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Table'!$G$48:$G$56</c:f>
              <c:strCache>
                <c:ptCount val="8"/>
                <c:pt idx="0">
                  <c:v>0-9</c:v>
                </c:pt>
                <c:pt idx="1">
                  <c:v>10-19</c:v>
                </c:pt>
                <c:pt idx="2">
                  <c:v>20-29</c:v>
                </c:pt>
                <c:pt idx="3">
                  <c:v>30-39</c:v>
                </c:pt>
                <c:pt idx="4">
                  <c:v>40-49</c:v>
                </c:pt>
                <c:pt idx="5">
                  <c:v>50-59</c:v>
                </c:pt>
                <c:pt idx="6">
                  <c:v>60-69</c:v>
                </c:pt>
                <c:pt idx="7">
                  <c:v>70-79</c:v>
                </c:pt>
              </c:strCache>
            </c:strRef>
          </c:cat>
          <c:val>
            <c:numRef>
              <c:f>'Pivot Table'!$H$48:$H$56</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3-A79A-4446-BF3C-DBAC8E429CE7}"/>
            </c:ext>
          </c:extLst>
        </c:ser>
        <c:dLbls>
          <c:showLegendKey val="0"/>
          <c:showVal val="0"/>
          <c:showCatName val="0"/>
          <c:showSerName val="0"/>
          <c:showPercent val="0"/>
          <c:showBubbleSize val="0"/>
        </c:dLbls>
        <c:gapWidth val="100"/>
        <c:overlap val="-24"/>
        <c:axId val="1679200879"/>
        <c:axId val="848667007"/>
      </c:barChart>
      <c:catAx>
        <c:axId val="1679200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848667007"/>
        <c:crosses val="autoZero"/>
        <c:auto val="1"/>
        <c:lblAlgn val="ctr"/>
        <c:lblOffset val="100"/>
        <c:noMultiLvlLbl val="0"/>
      </c:catAx>
      <c:valAx>
        <c:axId val="8486670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67920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
          <c:y val="4.2542375202262131E-2"/>
          <c:w val="0.58036145803918493"/>
          <c:h val="0.78448612293430164"/>
        </c:manualLayout>
      </c:layout>
      <c:pieChart>
        <c:varyColors val="1"/>
        <c:ser>
          <c:idx val="0"/>
          <c:order val="0"/>
          <c:tx>
            <c:strRef>
              <c:f>'Pivot Table'!$K$40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E6-484E-8F60-5CA3AF91EB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E6-484E-8F60-5CA3AF91EBC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Table'!$J$41:$J$43</c:f>
              <c:strCache>
                <c:ptCount val="2"/>
                <c:pt idx="0">
                  <c:v>Delay</c:v>
                </c:pt>
                <c:pt idx="1">
                  <c:v>Overtime</c:v>
                </c:pt>
              </c:strCache>
            </c:strRef>
          </c:cat>
          <c:val>
            <c:numRef>
              <c:f>'Pivot Table'!$K$41:$K$43</c:f>
              <c:numCache>
                <c:formatCode>0</c:formatCode>
                <c:ptCount val="2"/>
                <c:pt idx="0">
                  <c:v>311</c:v>
                </c:pt>
                <c:pt idx="1">
                  <c:v>195</c:v>
                </c:pt>
              </c:numCache>
            </c:numRef>
          </c:val>
          <c:extLst>
            <c:ext xmlns:c16="http://schemas.microsoft.com/office/drawing/2014/chart" uri="{C3380CC4-5D6E-409C-BE32-E72D297353CC}">
              <c16:uniqueId val="{00000007-8D4D-41B4-B094-40016643B9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745727744730601"/>
          <c:y val="7.0666031077207231E-2"/>
          <c:w val="0.30254291753606244"/>
          <c:h val="0.223689621351083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Table!PivotTable11</c:name>
    <c:fmtId val="19"/>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312970253718284"/>
          <c:y val="0.17125851692780827"/>
          <c:w val="0.58082027035838957"/>
          <c:h val="0.62184884717693112"/>
        </c:manualLayout>
      </c:layout>
      <c:pieChart>
        <c:varyColors val="1"/>
        <c:ser>
          <c:idx val="0"/>
          <c:order val="0"/>
          <c:tx>
            <c:strRef>
              <c:f>'Pivot Table'!$K$47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9F-4A3A-B788-F062E7279A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9F-4A3A-B788-F062E7279AB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Table'!$J$48:$J$50</c:f>
              <c:strCache>
                <c:ptCount val="2"/>
                <c:pt idx="0">
                  <c:v>Female</c:v>
                </c:pt>
                <c:pt idx="1">
                  <c:v>Male</c:v>
                </c:pt>
              </c:strCache>
            </c:strRef>
          </c:cat>
          <c:val>
            <c:numRef>
              <c:f>'Pivot Table'!$K$48:$K$50</c:f>
              <c:numCache>
                <c:formatCode>0.00</c:formatCode>
                <c:ptCount val="2"/>
                <c:pt idx="0">
                  <c:v>233</c:v>
                </c:pt>
                <c:pt idx="1">
                  <c:v>273</c:v>
                </c:pt>
              </c:numCache>
            </c:numRef>
          </c:val>
          <c:extLst>
            <c:ext xmlns:c16="http://schemas.microsoft.com/office/drawing/2014/chart" uri="{C3380CC4-5D6E-409C-BE32-E72D297353CC}">
              <c16:uniqueId val="{00000007-6EE5-4B6F-B0F2-D4D91A579D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457143729730756"/>
          <c:y val="0.11494604841061533"/>
          <c:w val="0.24366776847323696"/>
          <c:h val="0.204918149809138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Table!PivotTable12</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4833901808092"/>
          <c:y val="0.20472112832812484"/>
          <c:w val="0.73108486439195097"/>
          <c:h val="0.64690938062700976"/>
        </c:manualLayout>
      </c:layout>
      <c:barChart>
        <c:barDir val="bar"/>
        <c:grouping val="clustered"/>
        <c:varyColors val="0"/>
        <c:ser>
          <c:idx val="0"/>
          <c:order val="0"/>
          <c:tx>
            <c:strRef>
              <c:f>'Pivot Table'!$N$40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Table'!$M$41:$M$49</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Table'!$N$41:$N$49</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3-645D-4315-A103-1CB1296401C6}"/>
            </c:ext>
          </c:extLst>
        </c:ser>
        <c:dLbls>
          <c:showLegendKey val="0"/>
          <c:showVal val="0"/>
          <c:showCatName val="0"/>
          <c:showSerName val="0"/>
          <c:showPercent val="0"/>
          <c:showBubbleSize val="0"/>
        </c:dLbls>
        <c:gapWidth val="115"/>
        <c:overlap val="-20"/>
        <c:axId val="583465295"/>
        <c:axId val="1392264543"/>
      </c:barChart>
      <c:catAx>
        <c:axId val="583465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92264543"/>
        <c:crosses val="autoZero"/>
        <c:auto val="1"/>
        <c:lblAlgn val="ctr"/>
        <c:lblOffset val="100"/>
        <c:noMultiLvlLbl val="0"/>
      </c:catAx>
      <c:valAx>
        <c:axId val="139226454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8346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charts!A1"/><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charts!A1"/><Relationship Id="rId7" Type="http://schemas.openxmlformats.org/officeDocument/2006/relationships/image" Target="../media/image2.emf"/><Relationship Id="rId2" Type="http://schemas.openxmlformats.org/officeDocument/2006/relationships/hyperlink" Target="https://www.pngall.com/hospital-png" TargetMode="Externa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2.xml"/><Relationship Id="rId5" Type="http://schemas.openxmlformats.org/officeDocument/2006/relationships/chart" Target="../charts/chart7.xml"/><Relationship Id="rId10" Type="http://schemas.openxmlformats.org/officeDocument/2006/relationships/chart" Target="../charts/chart11.xml"/><Relationship Id="rId4" Type="http://schemas.openxmlformats.org/officeDocument/2006/relationships/chart" Target="../charts/chart6.xml"/><Relationship Id="rId9"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76200</xdr:rowOff>
    </xdr:from>
    <xdr:to>
      <xdr:col>10</xdr:col>
      <xdr:colOff>99060</xdr:colOff>
      <xdr:row>18</xdr:row>
      <xdr:rowOff>114300</xdr:rowOff>
    </xdr:to>
    <xdr:graphicFrame macro="">
      <xdr:nvGraphicFramePr>
        <xdr:cNvPr id="2" name="Chart 1">
          <a:extLst>
            <a:ext uri="{FF2B5EF4-FFF2-40B4-BE49-F238E27FC236}">
              <a16:creationId xmlns:a16="http://schemas.microsoft.com/office/drawing/2014/main" id="{CCE787CA-F726-41DC-BD4B-C79B22FFC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205740</xdr:colOff>
      <xdr:row>0</xdr:row>
      <xdr:rowOff>83820</xdr:rowOff>
    </xdr:from>
    <xdr:to>
      <xdr:col>20</xdr:col>
      <xdr:colOff>396240</xdr:colOff>
      <xdr:row>18</xdr:row>
      <xdr:rowOff>106680</xdr:rowOff>
    </xdr:to>
    <xdr:graphicFrame macro="">
      <xdr:nvGraphicFramePr>
        <xdr:cNvPr id="3" name="Chart 2">
          <a:extLst>
            <a:ext uri="{FF2B5EF4-FFF2-40B4-BE49-F238E27FC236}">
              <a16:creationId xmlns:a16="http://schemas.microsoft.com/office/drawing/2014/main" id="{9E8E2255-0612-42E8-981C-339E9FFEA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19</xdr:row>
      <xdr:rowOff>76200</xdr:rowOff>
    </xdr:from>
    <xdr:to>
      <xdr:col>10</xdr:col>
      <xdr:colOff>76200</xdr:colOff>
      <xdr:row>38</xdr:row>
      <xdr:rowOff>0</xdr:rowOff>
    </xdr:to>
    <xdr:graphicFrame macro="">
      <xdr:nvGraphicFramePr>
        <xdr:cNvPr id="4" name="Chart 3">
          <a:hlinkClick xmlns:r="http://schemas.openxmlformats.org/officeDocument/2006/relationships" r:id="rId3"/>
          <a:extLst>
            <a:ext uri="{FF2B5EF4-FFF2-40B4-BE49-F238E27FC236}">
              <a16:creationId xmlns:a16="http://schemas.microsoft.com/office/drawing/2014/main" id="{BC88C125-01BF-486A-8B22-9A593E4A7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2051808</xdr:colOff>
      <xdr:row>302</xdr:row>
      <xdr:rowOff>145410</xdr:rowOff>
    </xdr:from>
    <xdr:to>
      <xdr:col>15</xdr:col>
      <xdr:colOff>387992</xdr:colOff>
      <xdr:row>317</xdr:row>
      <xdr:rowOff>162188</xdr:rowOff>
    </xdr:to>
    <xdr:graphicFrame macro="">
      <xdr:nvGraphicFramePr>
        <xdr:cNvPr id="9" name="Chart 8">
          <a:extLst>
            <a:ext uri="{FF2B5EF4-FFF2-40B4-BE49-F238E27FC236}">
              <a16:creationId xmlns:a16="http://schemas.microsoft.com/office/drawing/2014/main" id="{69679813-CB6E-88D5-F919-D2ADEA55D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27965</xdr:colOff>
      <xdr:row>42</xdr:row>
      <xdr:rowOff>6991</xdr:rowOff>
    </xdr:from>
    <xdr:to>
      <xdr:col>5</xdr:col>
      <xdr:colOff>0</xdr:colOff>
      <xdr:row>44</xdr:row>
      <xdr:rowOff>0</xdr:rowOff>
    </xdr:to>
    <xdr:graphicFrame macro="">
      <xdr:nvGraphicFramePr>
        <xdr:cNvPr id="11" name="Chart 10">
          <a:extLst>
            <a:ext uri="{FF2B5EF4-FFF2-40B4-BE49-F238E27FC236}">
              <a16:creationId xmlns:a16="http://schemas.microsoft.com/office/drawing/2014/main" id="{4E1AA7ED-123E-028A-F232-6737478B0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591494</xdr:colOff>
      <xdr:row>51</xdr:row>
      <xdr:rowOff>22790</xdr:rowOff>
    </xdr:from>
    <xdr:to>
      <xdr:col>5</xdr:col>
      <xdr:colOff>735505</xdr:colOff>
      <xdr:row>64</xdr:row>
      <xdr:rowOff>126866</xdr:rowOff>
    </xdr:to>
    <mc:AlternateContent xmlns:mc="http://schemas.openxmlformats.org/markup-compatibility/2006" xmlns:a14="http://schemas.microsoft.com/office/drawing/2010/main">
      <mc:Choice Requires="a14">
        <xdr:graphicFrame macro="">
          <xdr:nvGraphicFramePr>
            <xdr:cNvPr id="19" name="Age Group">
              <a:extLst>
                <a:ext uri="{FF2B5EF4-FFF2-40B4-BE49-F238E27FC236}">
                  <a16:creationId xmlns:a16="http://schemas.microsoft.com/office/drawing/2014/main" id="{D3741B2D-C6CF-BD4C-C364-D6677D0A557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205439" y="932058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37714</xdr:colOff>
      <xdr:row>0</xdr:row>
      <xdr:rowOff>68426</xdr:rowOff>
    </xdr:from>
    <xdr:to>
      <xdr:col>8</xdr:col>
      <xdr:colOff>312419</xdr:colOff>
      <xdr:row>4</xdr:row>
      <xdr:rowOff>121766</xdr:rowOff>
    </xdr:to>
    <xdr:sp macro="" textlink="">
      <xdr:nvSpPr>
        <xdr:cNvPr id="2" name="Rectangle: Rounded Corners 1">
          <a:extLst>
            <a:ext uri="{FF2B5EF4-FFF2-40B4-BE49-F238E27FC236}">
              <a16:creationId xmlns:a16="http://schemas.microsoft.com/office/drawing/2014/main" id="{82D0A0AE-3781-9917-FA4C-2E820678F4D2}"/>
            </a:ext>
          </a:extLst>
        </xdr:cNvPr>
        <xdr:cNvSpPr/>
      </xdr:nvSpPr>
      <xdr:spPr>
        <a:xfrm>
          <a:off x="37714" y="68426"/>
          <a:ext cx="5151505" cy="78486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434340</xdr:colOff>
      <xdr:row>0</xdr:row>
      <xdr:rowOff>68580</xdr:rowOff>
    </xdr:from>
    <xdr:to>
      <xdr:col>12</xdr:col>
      <xdr:colOff>388620</xdr:colOff>
      <xdr:row>4</xdr:row>
      <xdr:rowOff>121920</xdr:rowOff>
    </xdr:to>
    <xdr:sp macro="" textlink="">
      <xdr:nvSpPr>
        <xdr:cNvPr id="3" name="Rectangle: Rounded Corners 2">
          <a:extLst>
            <a:ext uri="{FF2B5EF4-FFF2-40B4-BE49-F238E27FC236}">
              <a16:creationId xmlns:a16="http://schemas.microsoft.com/office/drawing/2014/main" id="{7BA5422D-3A00-D664-5E0A-F9D5A648A054}"/>
            </a:ext>
          </a:extLst>
        </xdr:cNvPr>
        <xdr:cNvSpPr/>
      </xdr:nvSpPr>
      <xdr:spPr>
        <a:xfrm>
          <a:off x="5311140" y="68580"/>
          <a:ext cx="2392680" cy="78486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571500</xdr:colOff>
      <xdr:row>0</xdr:row>
      <xdr:rowOff>91516</xdr:rowOff>
    </xdr:from>
    <xdr:to>
      <xdr:col>22</xdr:col>
      <xdr:colOff>236220</xdr:colOff>
      <xdr:row>13</xdr:row>
      <xdr:rowOff>53339</xdr:rowOff>
    </xdr:to>
    <xdr:sp macro="" textlink="">
      <xdr:nvSpPr>
        <xdr:cNvPr id="5" name="Rectangle: Rounded Corners 4">
          <a:extLst>
            <a:ext uri="{FF2B5EF4-FFF2-40B4-BE49-F238E27FC236}">
              <a16:creationId xmlns:a16="http://schemas.microsoft.com/office/drawing/2014/main" id="{08118393-CB8C-0D97-EB7A-10B95F8E531C}"/>
            </a:ext>
          </a:extLst>
        </xdr:cNvPr>
        <xdr:cNvSpPr/>
      </xdr:nvSpPr>
      <xdr:spPr>
        <a:xfrm>
          <a:off x="10934700" y="91516"/>
          <a:ext cx="2712720" cy="2339263"/>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121920</xdr:colOff>
      <xdr:row>0</xdr:row>
      <xdr:rowOff>30480</xdr:rowOff>
    </xdr:from>
    <xdr:to>
      <xdr:col>17</xdr:col>
      <xdr:colOff>91440</xdr:colOff>
      <xdr:row>9</xdr:row>
      <xdr:rowOff>167640</xdr:rowOff>
    </xdr:to>
    <xdr:sp macro="" textlink="">
      <xdr:nvSpPr>
        <xdr:cNvPr id="6" name="Rectangle: Rounded Corners 5">
          <a:extLst>
            <a:ext uri="{FF2B5EF4-FFF2-40B4-BE49-F238E27FC236}">
              <a16:creationId xmlns:a16="http://schemas.microsoft.com/office/drawing/2014/main" id="{0C7C9E31-4531-40DE-C0F3-F555F803BDEE}"/>
            </a:ext>
          </a:extLst>
        </xdr:cNvPr>
        <xdr:cNvSpPr/>
      </xdr:nvSpPr>
      <xdr:spPr>
        <a:xfrm>
          <a:off x="8046720" y="30480"/>
          <a:ext cx="2407920" cy="1783080"/>
        </a:xfrm>
        <a:prstGeom prst="roundRect">
          <a:avLst>
            <a:gd name="adj" fmla="val 244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60960</xdr:colOff>
      <xdr:row>5</xdr:row>
      <xdr:rowOff>30480</xdr:rowOff>
    </xdr:from>
    <xdr:to>
      <xdr:col>2</xdr:col>
      <xdr:colOff>22860</xdr:colOff>
      <xdr:row>28</xdr:row>
      <xdr:rowOff>22860</xdr:rowOff>
    </xdr:to>
    <xdr:sp macro="" textlink="">
      <xdr:nvSpPr>
        <xdr:cNvPr id="7" name="Rectangle: Rounded Corners 6">
          <a:extLst>
            <a:ext uri="{FF2B5EF4-FFF2-40B4-BE49-F238E27FC236}">
              <a16:creationId xmlns:a16="http://schemas.microsoft.com/office/drawing/2014/main" id="{AA72EB62-E01E-0B6D-3A60-17C70306E71B}"/>
            </a:ext>
          </a:extLst>
        </xdr:cNvPr>
        <xdr:cNvSpPr/>
      </xdr:nvSpPr>
      <xdr:spPr>
        <a:xfrm>
          <a:off x="60960" y="944880"/>
          <a:ext cx="1181100" cy="4198620"/>
        </a:xfrm>
        <a:prstGeom prst="roundRect">
          <a:avLst>
            <a:gd name="adj" fmla="val 24434"/>
          </a:avLst>
        </a:prstGeom>
        <a:solidFill>
          <a:srgbClr val="1221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8FAFC"/>
            </a:solidFill>
          </a:endParaRPr>
        </a:p>
      </xdr:txBody>
    </xdr:sp>
    <xdr:clientData/>
  </xdr:twoCellAnchor>
  <xdr:twoCellAnchor editAs="absolute">
    <xdr:from>
      <xdr:col>2</xdr:col>
      <xdr:colOff>220981</xdr:colOff>
      <xdr:row>5</xdr:row>
      <xdr:rowOff>22860</xdr:rowOff>
    </xdr:from>
    <xdr:to>
      <xdr:col>5</xdr:col>
      <xdr:colOff>472440</xdr:colOff>
      <xdr:row>9</xdr:row>
      <xdr:rowOff>175260</xdr:rowOff>
    </xdr:to>
    <xdr:sp macro="" textlink="">
      <xdr:nvSpPr>
        <xdr:cNvPr id="8" name="Rectangle: Rounded Corners 7">
          <a:extLst>
            <a:ext uri="{FF2B5EF4-FFF2-40B4-BE49-F238E27FC236}">
              <a16:creationId xmlns:a16="http://schemas.microsoft.com/office/drawing/2014/main" id="{0DB6B33A-6AED-7635-C311-35256F1A3F6C}"/>
            </a:ext>
          </a:extLst>
        </xdr:cNvPr>
        <xdr:cNvSpPr/>
      </xdr:nvSpPr>
      <xdr:spPr>
        <a:xfrm>
          <a:off x="1440181" y="937260"/>
          <a:ext cx="2080259" cy="88392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22860</xdr:colOff>
      <xdr:row>4</xdr:row>
      <xdr:rowOff>175260</xdr:rowOff>
    </xdr:from>
    <xdr:to>
      <xdr:col>9</xdr:col>
      <xdr:colOff>167640</xdr:colOff>
      <xdr:row>10</xdr:row>
      <xdr:rowOff>38100</xdr:rowOff>
    </xdr:to>
    <xdr:sp macro="" textlink="">
      <xdr:nvSpPr>
        <xdr:cNvPr id="9" name="Rectangle: Rounded Corners 8">
          <a:extLst>
            <a:ext uri="{FF2B5EF4-FFF2-40B4-BE49-F238E27FC236}">
              <a16:creationId xmlns:a16="http://schemas.microsoft.com/office/drawing/2014/main" id="{EDAA7A72-9C72-52C9-8928-27EF3C883985}"/>
            </a:ext>
          </a:extLst>
        </xdr:cNvPr>
        <xdr:cNvSpPr/>
      </xdr:nvSpPr>
      <xdr:spPr>
        <a:xfrm>
          <a:off x="3680460" y="906780"/>
          <a:ext cx="1973580" cy="96012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220980</xdr:colOff>
      <xdr:row>4</xdr:row>
      <xdr:rowOff>167640</xdr:rowOff>
    </xdr:from>
    <xdr:to>
      <xdr:col>12</xdr:col>
      <xdr:colOff>396240</xdr:colOff>
      <xdr:row>10</xdr:row>
      <xdr:rowOff>45720</xdr:rowOff>
    </xdr:to>
    <xdr:sp macro="" textlink="">
      <xdr:nvSpPr>
        <xdr:cNvPr id="10" name="Rectangle: Rounded Corners 9">
          <a:extLst>
            <a:ext uri="{FF2B5EF4-FFF2-40B4-BE49-F238E27FC236}">
              <a16:creationId xmlns:a16="http://schemas.microsoft.com/office/drawing/2014/main" id="{BE5F24BF-7DCD-7A22-7351-96AE28B3B1D4}"/>
            </a:ext>
          </a:extLst>
        </xdr:cNvPr>
        <xdr:cNvSpPr/>
      </xdr:nvSpPr>
      <xdr:spPr>
        <a:xfrm>
          <a:off x="5707380" y="899160"/>
          <a:ext cx="2004060" cy="97536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44950</xdr:colOff>
      <xdr:row>14</xdr:row>
      <xdr:rowOff>22860</xdr:rowOff>
    </xdr:from>
    <xdr:to>
      <xdr:col>11</xdr:col>
      <xdr:colOff>236220</xdr:colOff>
      <xdr:row>28</xdr:row>
      <xdr:rowOff>107759</xdr:rowOff>
    </xdr:to>
    <xdr:sp macro="" textlink="">
      <xdr:nvSpPr>
        <xdr:cNvPr id="16" name="Rectangle: Rounded Corners 15">
          <a:extLst>
            <a:ext uri="{FF2B5EF4-FFF2-40B4-BE49-F238E27FC236}">
              <a16:creationId xmlns:a16="http://schemas.microsoft.com/office/drawing/2014/main" id="{3329F068-A507-76CC-DB20-E37F927BA23E}"/>
            </a:ext>
          </a:extLst>
        </xdr:cNvPr>
        <xdr:cNvSpPr/>
      </xdr:nvSpPr>
      <xdr:spPr>
        <a:xfrm>
          <a:off x="1264150" y="2583180"/>
          <a:ext cx="5677670" cy="2645219"/>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28</xdr:row>
      <xdr:rowOff>15240</xdr:rowOff>
    </xdr:from>
    <xdr:to>
      <xdr:col>17</xdr:col>
      <xdr:colOff>320040</xdr:colOff>
      <xdr:row>28</xdr:row>
      <xdr:rowOff>76200</xdr:rowOff>
    </xdr:to>
    <xdr:cxnSp macro="">
      <xdr:nvCxnSpPr>
        <xdr:cNvPr id="20" name="Straight Connector 19">
          <a:extLst>
            <a:ext uri="{FF2B5EF4-FFF2-40B4-BE49-F238E27FC236}">
              <a16:creationId xmlns:a16="http://schemas.microsoft.com/office/drawing/2014/main" id="{3E7D7CA5-538C-6811-E297-0A9626A3438A}"/>
            </a:ext>
          </a:extLst>
        </xdr:cNvPr>
        <xdr:cNvCxnSpPr/>
      </xdr:nvCxnSpPr>
      <xdr:spPr>
        <a:xfrm flipV="1">
          <a:off x="30480" y="5135880"/>
          <a:ext cx="10652760" cy="609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22860</xdr:colOff>
      <xdr:row>0</xdr:row>
      <xdr:rowOff>0</xdr:rowOff>
    </xdr:from>
    <xdr:to>
      <xdr:col>23</xdr:col>
      <xdr:colOff>45720</xdr:colOff>
      <xdr:row>27</xdr:row>
      <xdr:rowOff>114300</xdr:rowOff>
    </xdr:to>
    <xdr:cxnSp macro="">
      <xdr:nvCxnSpPr>
        <xdr:cNvPr id="22" name="Straight Connector 21">
          <a:extLst>
            <a:ext uri="{FF2B5EF4-FFF2-40B4-BE49-F238E27FC236}">
              <a16:creationId xmlns:a16="http://schemas.microsoft.com/office/drawing/2014/main" id="{AE6B86D0-036F-7615-678D-7FDD64BD8904}"/>
            </a:ext>
          </a:extLst>
        </xdr:cNvPr>
        <xdr:cNvCxnSpPr/>
      </xdr:nvCxnSpPr>
      <xdr:spPr>
        <a:xfrm>
          <a:off x="14043660" y="0"/>
          <a:ext cx="22860" cy="50520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327660</xdr:colOff>
      <xdr:row>13</xdr:row>
      <xdr:rowOff>144779</xdr:rowOff>
    </xdr:from>
    <xdr:to>
      <xdr:col>22</xdr:col>
      <xdr:colOff>373764</xdr:colOff>
      <xdr:row>28</xdr:row>
      <xdr:rowOff>41916</xdr:rowOff>
    </xdr:to>
    <xdr:sp macro="" textlink="">
      <xdr:nvSpPr>
        <xdr:cNvPr id="24" name="Rectangle: Rounded Corners 23">
          <a:extLst>
            <a:ext uri="{FF2B5EF4-FFF2-40B4-BE49-F238E27FC236}">
              <a16:creationId xmlns:a16="http://schemas.microsoft.com/office/drawing/2014/main" id="{7227D7FE-7CE4-5F2E-6843-6FDDA752D4A9}"/>
            </a:ext>
          </a:extLst>
        </xdr:cNvPr>
        <xdr:cNvSpPr/>
      </xdr:nvSpPr>
      <xdr:spPr>
        <a:xfrm>
          <a:off x="7033260" y="2522219"/>
          <a:ext cx="6751704" cy="2640337"/>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569576</xdr:colOff>
      <xdr:row>0</xdr:row>
      <xdr:rowOff>121920</xdr:rowOff>
    </xdr:from>
    <xdr:to>
      <xdr:col>8</xdr:col>
      <xdr:colOff>91440</xdr:colOff>
      <xdr:row>3</xdr:row>
      <xdr:rowOff>53340</xdr:rowOff>
    </xdr:to>
    <xdr:sp macro="" textlink="">
      <xdr:nvSpPr>
        <xdr:cNvPr id="28" name="TextBox 27">
          <a:extLst>
            <a:ext uri="{FF2B5EF4-FFF2-40B4-BE49-F238E27FC236}">
              <a16:creationId xmlns:a16="http://schemas.microsoft.com/office/drawing/2014/main" id="{12516BC7-846E-7CF9-3C0B-400BC66DFE2B}"/>
            </a:ext>
          </a:extLst>
        </xdr:cNvPr>
        <xdr:cNvSpPr txBox="1"/>
      </xdr:nvSpPr>
      <xdr:spPr>
        <a:xfrm>
          <a:off x="569576" y="121920"/>
          <a:ext cx="4398664"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solidFill>
                <a:srgbClr val="F8FAFC"/>
              </a:solidFill>
            </a:rPr>
            <a:t>Hospital Emergency Room Dashboard</a:t>
          </a:r>
        </a:p>
      </xdr:txBody>
    </xdr:sp>
    <xdr:clientData/>
  </xdr:twoCellAnchor>
  <xdr:twoCellAnchor editAs="oneCell">
    <xdr:from>
      <xdr:col>0</xdr:col>
      <xdr:colOff>403861</xdr:colOff>
      <xdr:row>0</xdr:row>
      <xdr:rowOff>0</xdr:rowOff>
    </xdr:from>
    <xdr:to>
      <xdr:col>1</xdr:col>
      <xdr:colOff>564497</xdr:colOff>
      <xdr:row>3</xdr:row>
      <xdr:rowOff>114300</xdr:rowOff>
    </xdr:to>
    <xdr:pic>
      <xdr:nvPicPr>
        <xdr:cNvPr id="30" name="Picture 29">
          <a:extLst>
            <a:ext uri="{FF2B5EF4-FFF2-40B4-BE49-F238E27FC236}">
              <a16:creationId xmlns:a16="http://schemas.microsoft.com/office/drawing/2014/main" id="{644F888B-BB12-2370-613A-2005D6583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03861" y="0"/>
          <a:ext cx="770236" cy="662940"/>
        </a:xfrm>
        <a:prstGeom prst="rect">
          <a:avLst/>
        </a:prstGeom>
      </xdr:spPr>
    </xdr:pic>
    <xdr:clientData/>
  </xdr:twoCellAnchor>
  <xdr:oneCellAnchor>
    <xdr:from>
      <xdr:col>9</xdr:col>
      <xdr:colOff>0</xdr:colOff>
      <xdr:row>9</xdr:row>
      <xdr:rowOff>51741</xdr:rowOff>
    </xdr:from>
    <xdr:ext cx="1714286" cy="233205"/>
    <xdr:sp macro="" textlink="">
      <xdr:nvSpPr>
        <xdr:cNvPr id="31" name="TextBox 30">
          <a:extLst>
            <a:ext uri="{FF2B5EF4-FFF2-40B4-BE49-F238E27FC236}">
              <a16:creationId xmlns:a16="http://schemas.microsoft.com/office/drawing/2014/main" id="{37A0088E-36AC-96EC-E431-4B438BA2D684}"/>
            </a:ext>
          </a:extLst>
        </xdr:cNvPr>
        <xdr:cNvSpPr txBox="1"/>
      </xdr:nvSpPr>
      <xdr:spPr>
        <a:xfrm>
          <a:off x="5472545" y="1714286"/>
          <a:ext cx="171428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3</xdr:col>
      <xdr:colOff>99214</xdr:colOff>
      <xdr:row>2</xdr:row>
      <xdr:rowOff>46334</xdr:rowOff>
    </xdr:from>
    <xdr:to>
      <xdr:col>6</xdr:col>
      <xdr:colOff>106680</xdr:colOff>
      <xdr:row>3</xdr:row>
      <xdr:rowOff>154093</xdr:rowOff>
    </xdr:to>
    <xdr:sp macro="" textlink="">
      <xdr:nvSpPr>
        <xdr:cNvPr id="32" name="TextBox 31">
          <a:extLst>
            <a:ext uri="{FF2B5EF4-FFF2-40B4-BE49-F238E27FC236}">
              <a16:creationId xmlns:a16="http://schemas.microsoft.com/office/drawing/2014/main" id="{3EF04A50-F9BD-51E8-D619-0FA2740195D7}"/>
            </a:ext>
          </a:extLst>
        </xdr:cNvPr>
        <xdr:cNvSpPr txBox="1"/>
      </xdr:nvSpPr>
      <xdr:spPr>
        <a:xfrm>
          <a:off x="1928014" y="412094"/>
          <a:ext cx="1836266" cy="290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8FAFC"/>
              </a:solidFill>
            </a:rPr>
            <a:t>Monthly Report</a:t>
          </a:r>
        </a:p>
      </xdr:txBody>
    </xdr:sp>
    <xdr:clientData/>
  </xdr:twoCellAnchor>
  <xdr:twoCellAnchor>
    <xdr:from>
      <xdr:col>2</xdr:col>
      <xdr:colOff>550102</xdr:colOff>
      <xdr:row>6</xdr:row>
      <xdr:rowOff>77201</xdr:rowOff>
    </xdr:from>
    <xdr:to>
      <xdr:col>5</xdr:col>
      <xdr:colOff>9776</xdr:colOff>
      <xdr:row>7</xdr:row>
      <xdr:rowOff>175414</xdr:rowOff>
    </xdr:to>
    <xdr:sp macro="" textlink="">
      <xdr:nvSpPr>
        <xdr:cNvPr id="33" name="TextBox 32">
          <a:extLst>
            <a:ext uri="{FF2B5EF4-FFF2-40B4-BE49-F238E27FC236}">
              <a16:creationId xmlns:a16="http://schemas.microsoft.com/office/drawing/2014/main" id="{FA9B7028-A590-0322-B9C6-B355374C0ED1}"/>
            </a:ext>
          </a:extLst>
        </xdr:cNvPr>
        <xdr:cNvSpPr txBox="1"/>
      </xdr:nvSpPr>
      <xdr:spPr>
        <a:xfrm>
          <a:off x="1769302" y="1174481"/>
          <a:ext cx="1288474"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8FAFC"/>
              </a:solidFill>
            </a:rPr>
            <a:t>No.</a:t>
          </a:r>
          <a:r>
            <a:rPr lang="en-US" sz="1200" baseline="0">
              <a:solidFill>
                <a:srgbClr val="F8FAFC"/>
              </a:solidFill>
            </a:rPr>
            <a:t> of Patient</a:t>
          </a:r>
        </a:p>
        <a:p>
          <a:pPr algn="ctr"/>
          <a:endParaRPr lang="en-US" sz="1100">
            <a:solidFill>
              <a:srgbClr val="F8FAFC"/>
            </a:solidFill>
          </a:endParaRPr>
        </a:p>
      </xdr:txBody>
    </xdr:sp>
    <xdr:clientData/>
  </xdr:twoCellAnchor>
  <xdr:twoCellAnchor>
    <xdr:from>
      <xdr:col>2</xdr:col>
      <xdr:colOff>542634</xdr:colOff>
      <xdr:row>5</xdr:row>
      <xdr:rowOff>30866</xdr:rowOff>
    </xdr:from>
    <xdr:to>
      <xdr:col>5</xdr:col>
      <xdr:colOff>2308</xdr:colOff>
      <xdr:row>6</xdr:row>
      <xdr:rowOff>100138</xdr:rowOff>
    </xdr:to>
    <xdr:sp macro="" textlink="'Pivot Table'!B4">
      <xdr:nvSpPr>
        <xdr:cNvPr id="34" name="TextBox 33">
          <a:extLst>
            <a:ext uri="{FF2B5EF4-FFF2-40B4-BE49-F238E27FC236}">
              <a16:creationId xmlns:a16="http://schemas.microsoft.com/office/drawing/2014/main" id="{55EFF45B-5BAE-11FE-57A4-013328192679}"/>
            </a:ext>
          </a:extLst>
        </xdr:cNvPr>
        <xdr:cNvSpPr txBox="1"/>
      </xdr:nvSpPr>
      <xdr:spPr>
        <a:xfrm>
          <a:off x="1761834" y="945266"/>
          <a:ext cx="1288474" cy="252152"/>
        </a:xfrm>
        <a:prstGeom prst="rect">
          <a:avLst/>
        </a:prstGeom>
        <a:solidFill>
          <a:srgbClr val="1931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611073-5579-4B3A-BCCB-79ABC24C5D0E}" type="TxLink">
            <a:rPr lang="en-US" sz="1400" b="0" i="0" u="none" strike="noStrike">
              <a:solidFill>
                <a:srgbClr val="F8FAFC"/>
              </a:solidFill>
              <a:latin typeface="Calibri"/>
              <a:ea typeface="Calibri"/>
              <a:cs typeface="Calibri"/>
            </a:rPr>
            <a:pPr algn="ctr"/>
            <a:t>506</a:t>
          </a:fld>
          <a:endParaRPr lang="en-US" sz="1400">
            <a:solidFill>
              <a:srgbClr val="F8FAFC"/>
            </a:solidFill>
          </a:endParaRPr>
        </a:p>
      </xdr:txBody>
    </xdr:sp>
    <xdr:clientData/>
  </xdr:twoCellAnchor>
  <xdr:twoCellAnchor>
    <xdr:from>
      <xdr:col>6</xdr:col>
      <xdr:colOff>375920</xdr:colOff>
      <xdr:row>4</xdr:row>
      <xdr:rowOff>137777</xdr:rowOff>
    </xdr:from>
    <xdr:to>
      <xdr:col>8</xdr:col>
      <xdr:colOff>491374</xdr:colOff>
      <xdr:row>6</xdr:row>
      <xdr:rowOff>24169</xdr:rowOff>
    </xdr:to>
    <xdr:sp macro="" textlink="">
      <xdr:nvSpPr>
        <xdr:cNvPr id="35" name="TextBox 34">
          <a:extLst>
            <a:ext uri="{FF2B5EF4-FFF2-40B4-BE49-F238E27FC236}">
              <a16:creationId xmlns:a16="http://schemas.microsoft.com/office/drawing/2014/main" id="{DD788738-8C8B-629A-A8B5-FAC128AC767F}"/>
            </a:ext>
          </a:extLst>
        </xdr:cNvPr>
        <xdr:cNvSpPr txBox="1"/>
      </xdr:nvSpPr>
      <xdr:spPr>
        <a:xfrm>
          <a:off x="4033520" y="869297"/>
          <a:ext cx="1334654" cy="252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F8FAFC"/>
              </a:solidFill>
            </a:rPr>
            <a:t>35.26</a:t>
          </a:r>
        </a:p>
      </xdr:txBody>
    </xdr:sp>
    <xdr:clientData/>
  </xdr:twoCellAnchor>
  <xdr:twoCellAnchor>
    <xdr:from>
      <xdr:col>6</xdr:col>
      <xdr:colOff>60960</xdr:colOff>
      <xdr:row>6</xdr:row>
      <xdr:rowOff>54418</xdr:rowOff>
    </xdr:from>
    <xdr:to>
      <xdr:col>9</xdr:col>
      <xdr:colOff>182879</xdr:colOff>
      <xdr:row>8</xdr:row>
      <xdr:rowOff>62116</xdr:rowOff>
    </xdr:to>
    <xdr:sp macro="" textlink="">
      <xdr:nvSpPr>
        <xdr:cNvPr id="36" name="TextBox 35">
          <a:extLst>
            <a:ext uri="{FF2B5EF4-FFF2-40B4-BE49-F238E27FC236}">
              <a16:creationId xmlns:a16="http://schemas.microsoft.com/office/drawing/2014/main" id="{DCDDA676-6F69-4079-B6EF-87FFCE8605E4}"/>
            </a:ext>
          </a:extLst>
        </xdr:cNvPr>
        <xdr:cNvSpPr txBox="1"/>
      </xdr:nvSpPr>
      <xdr:spPr>
        <a:xfrm>
          <a:off x="3718560" y="1151698"/>
          <a:ext cx="1950719" cy="373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solidFill>
                <a:srgbClr val="F8FAFC"/>
              </a:solidFill>
            </a:rPr>
            <a:t>Average Patient</a:t>
          </a:r>
          <a:r>
            <a:rPr lang="en-US" sz="1200" baseline="0">
              <a:solidFill>
                <a:srgbClr val="F8FAFC"/>
              </a:solidFill>
            </a:rPr>
            <a:t> Waittime</a:t>
          </a:r>
        </a:p>
        <a:p>
          <a:pPr algn="ctr"/>
          <a:endParaRPr lang="en-US" sz="1200" baseline="0">
            <a:solidFill>
              <a:srgbClr val="F8FAFC"/>
            </a:solidFill>
          </a:endParaRPr>
        </a:p>
        <a:p>
          <a:pPr algn="ctr"/>
          <a:endParaRPr lang="en-US" sz="1200">
            <a:solidFill>
              <a:srgbClr val="F8FAFC"/>
            </a:solidFill>
          </a:endParaRPr>
        </a:p>
      </xdr:txBody>
    </xdr:sp>
    <xdr:clientData/>
  </xdr:twoCellAnchor>
  <xdr:twoCellAnchor>
    <xdr:from>
      <xdr:col>9</xdr:col>
      <xdr:colOff>419100</xdr:colOff>
      <xdr:row>6</xdr:row>
      <xdr:rowOff>92594</xdr:rowOff>
    </xdr:from>
    <xdr:to>
      <xdr:col>12</xdr:col>
      <xdr:colOff>267007</xdr:colOff>
      <xdr:row>8</xdr:row>
      <xdr:rowOff>38100</xdr:rowOff>
    </xdr:to>
    <xdr:sp macro="" textlink="">
      <xdr:nvSpPr>
        <xdr:cNvPr id="37" name="TextBox 36">
          <a:extLst>
            <a:ext uri="{FF2B5EF4-FFF2-40B4-BE49-F238E27FC236}">
              <a16:creationId xmlns:a16="http://schemas.microsoft.com/office/drawing/2014/main" id="{B4574456-5362-3902-E2DC-286CA942ECA1}"/>
            </a:ext>
          </a:extLst>
        </xdr:cNvPr>
        <xdr:cNvSpPr txBox="1"/>
      </xdr:nvSpPr>
      <xdr:spPr>
        <a:xfrm>
          <a:off x="5905500" y="1189874"/>
          <a:ext cx="1676707" cy="311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solidFill>
                <a:srgbClr val="F8FAFC"/>
              </a:solidFill>
            </a:rPr>
            <a:t>Patient</a:t>
          </a:r>
          <a:r>
            <a:rPr lang="en-US" sz="1200" baseline="0">
              <a:solidFill>
                <a:srgbClr val="F8FAFC"/>
              </a:solidFill>
            </a:rPr>
            <a:t> Satisfaction Score</a:t>
          </a:r>
          <a:endParaRPr lang="en-US" sz="1200">
            <a:solidFill>
              <a:srgbClr val="F8FAFC"/>
            </a:solidFill>
          </a:endParaRPr>
        </a:p>
      </xdr:txBody>
    </xdr:sp>
    <xdr:clientData/>
  </xdr:twoCellAnchor>
  <xdr:twoCellAnchor>
    <xdr:from>
      <xdr:col>9</xdr:col>
      <xdr:colOff>583891</xdr:colOff>
      <xdr:row>4</xdr:row>
      <xdr:rowOff>168180</xdr:rowOff>
    </xdr:from>
    <xdr:to>
      <xdr:col>12</xdr:col>
      <xdr:colOff>43565</xdr:colOff>
      <xdr:row>6</xdr:row>
      <xdr:rowOff>69966</xdr:rowOff>
    </xdr:to>
    <xdr:sp macro="" textlink="'Pivot Table'!B15">
      <xdr:nvSpPr>
        <xdr:cNvPr id="38" name="TextBox 37">
          <a:extLst>
            <a:ext uri="{FF2B5EF4-FFF2-40B4-BE49-F238E27FC236}">
              <a16:creationId xmlns:a16="http://schemas.microsoft.com/office/drawing/2014/main" id="{9D5687F2-FEB9-7B8F-A762-C247D98D2446}"/>
            </a:ext>
          </a:extLst>
        </xdr:cNvPr>
        <xdr:cNvSpPr txBox="1"/>
      </xdr:nvSpPr>
      <xdr:spPr>
        <a:xfrm>
          <a:off x="6070291" y="899700"/>
          <a:ext cx="1288474" cy="267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EDE60B-FB1B-4051-BF8D-75C1EC82EF39}" type="TxLink">
            <a:rPr lang="en-US" sz="1400" b="0" i="0" u="none" strike="noStrike" baseline="0">
              <a:solidFill>
                <a:srgbClr val="F8FAFC"/>
              </a:solidFill>
              <a:latin typeface="Calibri"/>
              <a:ea typeface="Calibri"/>
              <a:cs typeface="Calibri"/>
            </a:rPr>
            <a:pPr algn="ctr"/>
            <a:t>5.18</a:t>
          </a:fld>
          <a:endParaRPr lang="en-US" sz="1400">
            <a:solidFill>
              <a:srgbClr val="F8FAFC"/>
            </a:solidFill>
          </a:endParaRPr>
        </a:p>
      </xdr:txBody>
    </xdr:sp>
    <xdr:clientData/>
  </xdr:twoCellAnchor>
  <xdr:twoCellAnchor editAs="oneCell">
    <xdr:from>
      <xdr:col>0</xdr:col>
      <xdr:colOff>158556</xdr:colOff>
      <xdr:row>5</xdr:row>
      <xdr:rowOff>180340</xdr:rowOff>
    </xdr:from>
    <xdr:to>
      <xdr:col>1</xdr:col>
      <xdr:colOff>544905</xdr:colOff>
      <xdr:row>27</xdr:row>
      <xdr:rowOff>30711</xdr:rowOff>
    </xdr:to>
    <mc:AlternateContent xmlns:mc="http://schemas.openxmlformats.org/markup-compatibility/2006" xmlns:a14="http://schemas.microsoft.com/office/drawing/2010/main">
      <mc:Choice Requires="a14">
        <xdr:graphicFrame macro="">
          <xdr:nvGraphicFramePr>
            <xdr:cNvPr id="12" name="Dates (Month)">
              <a:extLst>
                <a:ext uri="{FF2B5EF4-FFF2-40B4-BE49-F238E27FC236}">
                  <a16:creationId xmlns:a16="http://schemas.microsoft.com/office/drawing/2014/main" id="{505DA493-3B6A-4AD3-8C79-3A747AC4F24A}"/>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58556" y="1094740"/>
              <a:ext cx="995949" cy="387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5</xdr:row>
      <xdr:rowOff>153939</xdr:rowOff>
    </xdr:from>
    <xdr:to>
      <xdr:col>5</xdr:col>
      <xdr:colOff>533400</xdr:colOff>
      <xdr:row>9</xdr:row>
      <xdr:rowOff>99061</xdr:rowOff>
    </xdr:to>
    <xdr:graphicFrame macro="">
      <xdr:nvGraphicFramePr>
        <xdr:cNvPr id="13" name="Chart 12">
          <a:hlinkClick xmlns:r="http://schemas.openxmlformats.org/officeDocument/2006/relationships" r:id="rId3"/>
          <a:extLst>
            <a:ext uri="{FF2B5EF4-FFF2-40B4-BE49-F238E27FC236}">
              <a16:creationId xmlns:a16="http://schemas.microsoft.com/office/drawing/2014/main" id="{0F114A7D-C762-44B6-BDF3-CD15D7167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388620</xdr:colOff>
      <xdr:row>7</xdr:row>
      <xdr:rowOff>22860</xdr:rowOff>
    </xdr:from>
    <xdr:to>
      <xdr:col>9</xdr:col>
      <xdr:colOff>175260</xdr:colOff>
      <xdr:row>9</xdr:row>
      <xdr:rowOff>144780</xdr:rowOff>
    </xdr:to>
    <xdr:graphicFrame macro="">
      <xdr:nvGraphicFramePr>
        <xdr:cNvPr id="14" name="Chart 13">
          <a:hlinkClick xmlns:r="http://schemas.openxmlformats.org/officeDocument/2006/relationships" r:id="rId3"/>
          <a:extLst>
            <a:ext uri="{FF2B5EF4-FFF2-40B4-BE49-F238E27FC236}">
              <a16:creationId xmlns:a16="http://schemas.microsoft.com/office/drawing/2014/main" id="{BFF8ECED-BE8D-4B3D-903B-190F130CA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297180</xdr:colOff>
      <xdr:row>5</xdr:row>
      <xdr:rowOff>114609</xdr:rowOff>
    </xdr:from>
    <xdr:to>
      <xdr:col>12</xdr:col>
      <xdr:colOff>350520</xdr:colOff>
      <xdr:row>9</xdr:row>
      <xdr:rowOff>167640</xdr:rowOff>
    </xdr:to>
    <xdr:graphicFrame macro="">
      <xdr:nvGraphicFramePr>
        <xdr:cNvPr id="17" name="Chart 16">
          <a:hlinkClick xmlns:r="http://schemas.openxmlformats.org/officeDocument/2006/relationships" r:id="rId3"/>
          <a:extLst>
            <a:ext uri="{FF2B5EF4-FFF2-40B4-BE49-F238E27FC236}">
              <a16:creationId xmlns:a16="http://schemas.microsoft.com/office/drawing/2014/main" id="{775E862D-78A2-414B-B839-A5A240CB1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251460</xdr:colOff>
          <xdr:row>10</xdr:row>
          <xdr:rowOff>45720</xdr:rowOff>
        </xdr:from>
        <xdr:to>
          <xdr:col>12</xdr:col>
          <xdr:colOff>289560</xdr:colOff>
          <xdr:row>13</xdr:row>
          <xdr:rowOff>106680</xdr:rowOff>
        </xdr:to>
        <xdr:pic>
          <xdr:nvPicPr>
            <xdr:cNvPr id="43" name="Picture 42">
              <a:extLst>
                <a:ext uri="{FF2B5EF4-FFF2-40B4-BE49-F238E27FC236}">
                  <a16:creationId xmlns:a16="http://schemas.microsoft.com/office/drawing/2014/main" id="{1450CC5E-7CCA-E898-E890-64733ADB1324}"/>
                </a:ext>
              </a:extLst>
            </xdr:cNvPr>
            <xdr:cNvPicPr>
              <a:picLocks noChangeAspect="1" noChangeArrowheads="1"/>
              <a:extLst>
                <a:ext uri="{84589F7E-364E-4C9E-8A38-B11213B215E9}">
                  <a14:cameraTool cellRange="'Pivot Table'!$B$42:$E$44" spid="_x0000_s1077"/>
                </a:ext>
              </a:extLst>
            </xdr:cNvPicPr>
          </xdr:nvPicPr>
          <xdr:blipFill>
            <a:blip xmlns:r="http://schemas.openxmlformats.org/officeDocument/2006/relationships" r:embed="rId7"/>
            <a:srcRect/>
            <a:stretch>
              <a:fillRect/>
            </a:stretch>
          </xdr:blipFill>
          <xdr:spPr bwMode="auto">
            <a:xfrm>
              <a:off x="1470660" y="1874520"/>
              <a:ext cx="6134100" cy="6096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a:extLst>
              <a:ext uri="{909E8E84-426E-40DD-AFC4-6F175D3DCCD1}">
                <a14:hiddenFill>
                  <a:solidFill>
                    <a:srgbClr val="FFFFFF"/>
                  </a:solidFill>
                </a14:hiddenFill>
              </a:ext>
            </a:extLst>
          </xdr:spPr>
        </xdr:pic>
        <xdr:clientData/>
      </xdr:twoCellAnchor>
    </mc:Choice>
    <mc:Fallback/>
  </mc:AlternateContent>
  <xdr:twoCellAnchor>
    <xdr:from>
      <xdr:col>2</xdr:col>
      <xdr:colOff>91440</xdr:colOff>
      <xdr:row>13</xdr:row>
      <xdr:rowOff>144780</xdr:rowOff>
    </xdr:from>
    <xdr:to>
      <xdr:col>11</xdr:col>
      <xdr:colOff>83820</xdr:colOff>
      <xdr:row>27</xdr:row>
      <xdr:rowOff>152477</xdr:rowOff>
    </xdr:to>
    <xdr:graphicFrame macro="">
      <xdr:nvGraphicFramePr>
        <xdr:cNvPr id="44" name="Chart 43">
          <a:extLst>
            <a:ext uri="{FF2B5EF4-FFF2-40B4-BE49-F238E27FC236}">
              <a16:creationId xmlns:a16="http://schemas.microsoft.com/office/drawing/2014/main" id="{B9422454-B85F-4CBE-B454-B15CA1D05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53879</xdr:colOff>
      <xdr:row>26</xdr:row>
      <xdr:rowOff>76969</xdr:rowOff>
    </xdr:from>
    <xdr:ext cx="2170545" cy="280205"/>
    <xdr:sp macro="" textlink="">
      <xdr:nvSpPr>
        <xdr:cNvPr id="45" name="TextBox 44">
          <a:extLst>
            <a:ext uri="{FF2B5EF4-FFF2-40B4-BE49-F238E27FC236}">
              <a16:creationId xmlns:a16="http://schemas.microsoft.com/office/drawing/2014/main" id="{95FEF091-5DA7-D3F0-F480-906BBAC71184}"/>
            </a:ext>
          </a:extLst>
        </xdr:cNvPr>
        <xdr:cNvSpPr txBox="1"/>
      </xdr:nvSpPr>
      <xdr:spPr>
        <a:xfrm>
          <a:off x="2486121" y="4879878"/>
          <a:ext cx="217054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bg1"/>
              </a:solidFill>
            </a:rPr>
            <a:t>No. of Patients by</a:t>
          </a:r>
          <a:r>
            <a:rPr lang="en-US" sz="1200" baseline="0">
              <a:solidFill>
                <a:schemeClr val="bg1"/>
              </a:solidFill>
            </a:rPr>
            <a:t> Age Group</a:t>
          </a:r>
          <a:endParaRPr lang="en-US" sz="1200">
            <a:solidFill>
              <a:schemeClr val="bg1"/>
            </a:solidFill>
          </a:endParaRPr>
        </a:p>
      </xdr:txBody>
    </xdr:sp>
    <xdr:clientData/>
  </xdr:oneCellAnchor>
  <xdr:twoCellAnchor>
    <xdr:from>
      <xdr:col>18</xdr:col>
      <xdr:colOff>186614</xdr:colOff>
      <xdr:row>0</xdr:row>
      <xdr:rowOff>129540</xdr:rowOff>
    </xdr:from>
    <xdr:to>
      <xdr:col>22</xdr:col>
      <xdr:colOff>241040</xdr:colOff>
      <xdr:row>12</xdr:row>
      <xdr:rowOff>147735</xdr:rowOff>
    </xdr:to>
    <xdr:graphicFrame macro="">
      <xdr:nvGraphicFramePr>
        <xdr:cNvPr id="46" name="Chart 45">
          <a:extLst>
            <a:ext uri="{FF2B5EF4-FFF2-40B4-BE49-F238E27FC236}">
              <a16:creationId xmlns:a16="http://schemas.microsoft.com/office/drawing/2014/main" id="{D010DA93-679B-4276-8080-72AAC1F25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18</xdr:col>
      <xdr:colOff>299952</xdr:colOff>
      <xdr:row>10</xdr:row>
      <xdr:rowOff>53340</xdr:rowOff>
    </xdr:from>
    <xdr:ext cx="2224424" cy="280205"/>
    <xdr:sp macro="" textlink="">
      <xdr:nvSpPr>
        <xdr:cNvPr id="47" name="TextBox 46">
          <a:extLst>
            <a:ext uri="{FF2B5EF4-FFF2-40B4-BE49-F238E27FC236}">
              <a16:creationId xmlns:a16="http://schemas.microsoft.com/office/drawing/2014/main" id="{16D4092B-1E9A-1065-AF80-FCC7D491DB88}"/>
            </a:ext>
          </a:extLst>
        </xdr:cNvPr>
        <xdr:cNvSpPr txBox="1"/>
      </xdr:nvSpPr>
      <xdr:spPr>
        <a:xfrm>
          <a:off x="11216768" y="1919462"/>
          <a:ext cx="22244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rgbClr val="FFFFFF"/>
              </a:solidFill>
            </a:rPr>
            <a:t>Patients Attended within Time</a:t>
          </a:r>
        </a:p>
      </xdr:txBody>
    </xdr:sp>
    <xdr:clientData/>
  </xdr:oneCellAnchor>
  <xdr:twoCellAnchor>
    <xdr:from>
      <xdr:col>12</xdr:col>
      <xdr:colOff>487680</xdr:colOff>
      <xdr:row>0</xdr:row>
      <xdr:rowOff>75200</xdr:rowOff>
    </xdr:from>
    <xdr:to>
      <xdr:col>17</xdr:col>
      <xdr:colOff>411480</xdr:colOff>
      <xdr:row>13</xdr:row>
      <xdr:rowOff>38100</xdr:rowOff>
    </xdr:to>
    <xdr:sp macro="" textlink="">
      <xdr:nvSpPr>
        <xdr:cNvPr id="48" name="Rectangle: Rounded Corners 47">
          <a:extLst>
            <a:ext uri="{FF2B5EF4-FFF2-40B4-BE49-F238E27FC236}">
              <a16:creationId xmlns:a16="http://schemas.microsoft.com/office/drawing/2014/main" id="{5EA6CD87-614B-405C-AEDE-1266296020BA}"/>
            </a:ext>
          </a:extLst>
        </xdr:cNvPr>
        <xdr:cNvSpPr/>
      </xdr:nvSpPr>
      <xdr:spPr>
        <a:xfrm>
          <a:off x="7802880" y="75200"/>
          <a:ext cx="2971800" cy="2340340"/>
        </a:xfrm>
        <a:prstGeom prst="roundRect">
          <a:avLst>
            <a:gd name="adj" fmla="val 24434"/>
          </a:avLst>
        </a:prstGeom>
        <a:solidFill>
          <a:srgbClr val="1931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85360</xdr:colOff>
      <xdr:row>0</xdr:row>
      <xdr:rowOff>0</xdr:rowOff>
    </xdr:from>
    <xdr:to>
      <xdr:col>17</xdr:col>
      <xdr:colOff>69966</xdr:colOff>
      <xdr:row>12</xdr:row>
      <xdr:rowOff>68580</xdr:rowOff>
    </xdr:to>
    <xdr:graphicFrame macro="">
      <xdr:nvGraphicFramePr>
        <xdr:cNvPr id="49" name="Chart 48">
          <a:extLst>
            <a:ext uri="{FF2B5EF4-FFF2-40B4-BE49-F238E27FC236}">
              <a16:creationId xmlns:a16="http://schemas.microsoft.com/office/drawing/2014/main" id="{A4A6E2E2-BF85-457F-B99F-ED831DE2D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13</xdr:col>
      <xdr:colOff>492145</xdr:colOff>
      <xdr:row>10</xdr:row>
      <xdr:rowOff>176800</xdr:rowOff>
    </xdr:from>
    <xdr:ext cx="2016606" cy="280205"/>
    <xdr:sp macro="" textlink="">
      <xdr:nvSpPr>
        <xdr:cNvPr id="50" name="TextBox 49">
          <a:extLst>
            <a:ext uri="{FF2B5EF4-FFF2-40B4-BE49-F238E27FC236}">
              <a16:creationId xmlns:a16="http://schemas.microsoft.com/office/drawing/2014/main" id="{74C65579-4067-E6C5-0CF1-0013ED0B0C71}"/>
            </a:ext>
          </a:extLst>
        </xdr:cNvPr>
        <xdr:cNvSpPr txBox="1"/>
      </xdr:nvSpPr>
      <xdr:spPr>
        <a:xfrm>
          <a:off x="8376512" y="2042922"/>
          <a:ext cx="20166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rgbClr val="FFFFFF"/>
              </a:solidFill>
            </a:rPr>
            <a:t>No. of Patients by Gender</a:t>
          </a:r>
        </a:p>
      </xdr:txBody>
    </xdr:sp>
    <xdr:clientData/>
  </xdr:oneCellAnchor>
  <xdr:twoCellAnchor>
    <xdr:from>
      <xdr:col>11</xdr:col>
      <xdr:colOff>182880</xdr:colOff>
      <xdr:row>11</xdr:row>
      <xdr:rowOff>106987</xdr:rowOff>
    </xdr:from>
    <xdr:to>
      <xdr:col>22</xdr:col>
      <xdr:colOff>138854</xdr:colOff>
      <xdr:row>28</xdr:row>
      <xdr:rowOff>24168</xdr:rowOff>
    </xdr:to>
    <xdr:graphicFrame macro="">
      <xdr:nvGraphicFramePr>
        <xdr:cNvPr id="51" name="Chart 50">
          <a:extLst>
            <a:ext uri="{FF2B5EF4-FFF2-40B4-BE49-F238E27FC236}">
              <a16:creationId xmlns:a16="http://schemas.microsoft.com/office/drawing/2014/main" id="{0C7FF705-562F-4BE5-999F-041335493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15</xdr:col>
      <xdr:colOff>801</xdr:colOff>
      <xdr:row>26</xdr:row>
      <xdr:rowOff>145088</xdr:rowOff>
    </xdr:from>
    <xdr:ext cx="2855576" cy="280205"/>
    <xdr:sp macro="" textlink="">
      <xdr:nvSpPr>
        <xdr:cNvPr id="52" name="TextBox 51">
          <a:extLst>
            <a:ext uri="{FF2B5EF4-FFF2-40B4-BE49-F238E27FC236}">
              <a16:creationId xmlns:a16="http://schemas.microsoft.com/office/drawing/2014/main" id="{4DB07A70-2D19-CCF7-400D-C566C1BD59B9}"/>
            </a:ext>
          </a:extLst>
        </xdr:cNvPr>
        <xdr:cNvSpPr txBox="1"/>
      </xdr:nvSpPr>
      <xdr:spPr>
        <a:xfrm>
          <a:off x="9098148" y="4997006"/>
          <a:ext cx="28555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rgbClr val="FFFFFF"/>
              </a:solidFill>
            </a:rPr>
            <a:t>No.of Patients by Department</a:t>
          </a:r>
          <a:r>
            <a:rPr lang="en-US" sz="1200" baseline="0">
              <a:solidFill>
                <a:srgbClr val="FFFFFF"/>
              </a:solidFill>
            </a:rPr>
            <a:t> Referral</a:t>
          </a:r>
          <a:endParaRPr lang="en-US" sz="1200">
            <a:solidFill>
              <a:srgbClr val="FFFFFF"/>
            </a:solidFill>
          </a:endParaRPr>
        </a:p>
      </xdr:txBody>
    </xdr:sp>
    <xdr:clientData/>
  </xdr:oneCellAnchor>
  <xdr:twoCellAnchor editAs="oneCell">
    <xdr:from>
      <xdr:col>8</xdr:col>
      <xdr:colOff>563880</xdr:colOff>
      <xdr:row>0</xdr:row>
      <xdr:rowOff>175260</xdr:rowOff>
    </xdr:from>
    <xdr:to>
      <xdr:col>12</xdr:col>
      <xdr:colOff>287867</xdr:colOff>
      <xdr:row>3</xdr:row>
      <xdr:rowOff>99061</xdr:rowOff>
    </xdr:to>
    <mc:AlternateContent xmlns:mc="http://schemas.openxmlformats.org/markup-compatibility/2006" xmlns:a14="http://schemas.microsoft.com/office/drawing/2010/main">
      <mc:Choice Requires="a14">
        <xdr:graphicFrame macro="">
          <xdr:nvGraphicFramePr>
            <xdr:cNvPr id="55" name="Dates (Year)">
              <a:extLst>
                <a:ext uri="{FF2B5EF4-FFF2-40B4-BE49-F238E27FC236}">
                  <a16:creationId xmlns:a16="http://schemas.microsoft.com/office/drawing/2014/main" id="{CAA78084-9D99-48AD-8A0B-78DFC702EF22}"/>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mlns="">
        <xdr:sp macro="" textlink="">
          <xdr:nvSpPr>
            <xdr:cNvPr id="0" name=""/>
            <xdr:cNvSpPr>
              <a:spLocks noTextEdit="1"/>
            </xdr:cNvSpPr>
          </xdr:nvSpPr>
          <xdr:spPr>
            <a:xfrm>
              <a:off x="5440680" y="175260"/>
              <a:ext cx="2162387" cy="472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5532408" createdVersion="5" refreshedVersion="8" minRefreshableVersion="3" recordCount="0" supportSubquery="1" supportAdvancedDrill="1" xr:uid="{C4845D23-B709-4107-A1C3-C415A4284E6F}">
  <cacheSource type="external" connectionId="3"/>
  <cacheFields count="4">
    <cacheField name="[Measures].[Distinct Count of Patient Id]" caption="Distinct Count of Patient Id" numFmtId="0" hierarchy="24" level="32767"/>
    <cacheField name="[Calender_Table].[Dates (Day)].[Dates (Day)]" caption="Dates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6111109" createdVersion="5" refreshedVersion="8" minRefreshableVersion="3" recordCount="0" supportSubquery="1" supportAdvancedDrill="1" xr:uid="{FD602F87-D26D-4825-8AB2-A8C130D78850}">
  <cacheSource type="external" connectionId="3"/>
  <cacheFields count="3">
    <cacheField name="[Measures].[Distinct Count of Patient Id]" caption="Distinct Count of Patient Id" numFmtId="0" hierarchy="24" level="32767"/>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6689817" createdVersion="5" refreshedVersion="8" minRefreshableVersion="3" recordCount="0" supportSubquery="1" supportAdvancedDrill="1" xr:uid="{8A487ED3-3344-40AE-B8A1-36B304595275}">
  <cacheSource type="external" connectionId="3"/>
  <cacheFields count="3">
    <cacheField name="[Measures].[Average of Patient Waittime]" caption="Average of Patient Waittime" numFmtId="0" hierarchy="26" level="32767"/>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7384256" createdVersion="5" refreshedVersion="8" minRefreshableVersion="3" recordCount="0" supportSubquery="1" supportAdvancedDrill="1" xr:uid="{2A73BA66-2DAC-4F56-BB01-5402FC642116}">
  <cacheSource type="external" connectionId="3"/>
  <cacheFields count="3">
    <cacheField name="[Measures].[Average of Patient Satisfaction Score]" caption="Average of Patient Satisfaction Score" numFmtId="0" hierarchy="28" level="32767"/>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8425926" createdVersion="5" refreshedVersion="8" minRefreshableVersion="3" recordCount="0" supportSubquery="1" supportAdvancedDrill="1" xr:uid="{7491F0A9-E520-407C-8BE1-71A57038A835}">
  <cacheSource type="external" connectionId="3"/>
  <cacheFields count="4">
    <cacheField name="[Calender_Table].[Dates (Day)].[Dates (Day)]" caption="Dates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s (Month)].[Dates (Month)]" caption="Dates (Month)" numFmtId="0" hierarchy="3" level="1">
      <sharedItems containsSemiMixedTypes="0" containsNonDate="0" containsString="0"/>
    </cacheField>
    <cacheField name="[Measures].[Average of Patient Waittime]" caption="Average of Patient Waittime" numFmtId="0" hierarchy="26" level="32767"/>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39351849" createdVersion="5" refreshedVersion="8" minRefreshableVersion="3" recordCount="0" supportSubquery="1" supportAdvancedDrill="1" xr:uid="{EA21CCAA-6AEA-4A6A-8898-530D8CE0286C}">
  <cacheSource type="external" connectionId="3"/>
  <cacheFields count="4">
    <cacheField name="[Calender_Table].[Dates (Day)].[Dates (Day)]" caption="Dates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Satisfaction Score]" caption="Average of Patient Satisfaction Score" numFmtId="0" hierarchy="28" level="32767"/>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027778" createdVersion="5" refreshedVersion="8" minRefreshableVersion="3" recordCount="0" supportSubquery="1" supportAdvancedDrill="1" xr:uid="{E66819A3-B202-41E3-A20B-ADED14FCF11D}">
  <cacheSource type="external" connectionId="3"/>
  <cacheFields count="5">
    <cacheField name="[Calender_Table].[Dates (Month)].[Dates (Month)]" caption="Dates (Month)"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s (Year)].[Dates (Year)]" caption="Dates (Year)" numFmtId="0" hierarchy="1"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0856481" createdVersion="5" refreshedVersion="8" minRefreshableVersion="3" recordCount="0" supportSubquery="1" supportAdvancedDrill="1" xr:uid="{02BC843A-B433-49AA-A838-18D9E712FBF2}">
  <cacheSource type="external" connectionId="3"/>
  <cacheFields count="4">
    <cacheField name="[Calender_Table].[Dates (Month)].[Dates (Month)]" caption="Dates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1" level="32767"/>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2"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1666666" createdVersion="5" refreshedVersion="8" minRefreshableVersion="3" recordCount="0" supportSubquery="1" supportAdvancedDrill="1" xr:uid="{E55AE5EC-7395-4827-ACF2-4AFD4F3EFA27}">
  <cacheSource type="external" connectionId="3"/>
  <cacheFields count="4">
    <cacheField name="[Calender_Table].[Dates (Month)].[Dates (Month)]" caption="Dates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vertime"/>
      </sharedItems>
    </cacheField>
    <cacheField name="[Measures].[Count of Patient Attend Status]" caption="Count of Patient Attend Status" numFmtId="0" hierarchy="32" level="32767"/>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259259" createdVersion="5" refreshedVersion="8" minRefreshableVersion="3" recordCount="0" supportSubquery="1" supportAdvancedDrill="1" xr:uid="{4719E234-FA85-4A9B-9DD9-F74E1ED4E5DF}">
  <cacheSource type="external" connectionId="3"/>
  <cacheFields count="4">
    <cacheField name="[Calender_Table].[Dates (Month)].[Dates (Month)]" caption="Dates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3518521" createdVersion="5" refreshedVersion="8" minRefreshableVersion="3" recordCount="0" supportSubquery="1" supportAdvancedDrill="1" xr:uid="{8BAF2596-63D8-49E9-96D8-7E014E76133C}">
  <cacheSource type="external" connectionId="3"/>
  <cacheFields count="4">
    <cacheField name="[Calender_Table].[Dates (Month)].[Dates (Month)]" caption="Dates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s (Year)].[Dates (Year)]" caption="Dates (Year)" numFmtId="0" hierarchy="1"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51.574644097222" createdVersion="5" refreshedVersion="8" minRefreshableVersion="3" recordCount="0" supportSubquery="1" supportAdvancedDrill="1" xr:uid="{BBEFE7AD-825C-4B5C-A7E2-C9AF2A7B792F}">
  <cacheSource type="external" connectionId="3"/>
  <cacheFields count="2">
    <cacheField name="[Calender_Table].[Dates (Month)].[Dates (Month)]" caption="Dates (Month)" numFmtId="0" hierarchy="3" level="1">
      <sharedItems containsSemiMixedTypes="0" containsNonDate="0" containsString="0"/>
    </cacheField>
    <cacheField name="[Calender_Table].[Dates (Year)].[Dates (Year)]" caption="Dates (Year)" numFmtId="0" hierarchy="1" level="1">
      <sharedItems count="1">
        <s v="2023"/>
      </sharedItems>
    </cacheField>
  </cacheFields>
  <cacheHierarchies count="35">
    <cacheHierarchy uniqueName="[Calender_Table].[Dates]" caption="Dates" attribute="1" time="1" defaultMemberUniqueName="[Calender_Table].[Dates].[All]" allUniqueName="[Calender_Table].[Dates].[All]" dimensionUniqueName="[Calender_Table]" displayFolder="" count="2"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30.022681481481" createdVersion="3" refreshedVersion="8" minRefreshableVersion="3" recordCount="0" supportSubquery="1" supportAdvancedDrill="1" xr:uid="{6204936D-468F-42D3-96BA-83C5E5B497B1}">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0291294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30.472300231479" createdVersion="3" refreshedVersion="8" minRefreshableVersion="3" recordCount="0" supportSubquery="1" supportAdvancedDrill="1" xr:uid="{8192E8A5-77B4-451F-AD6B-92DCBEC5795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0"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0312748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3" refreshedDate="46230.681332060187" createdVersion="3" refreshedVersion="8" minRefreshableVersion="3" recordCount="0" supportSubquery="1" supportAdvancedDrill="1" xr:uid="{FC553D99-2587-456B-B5BB-72BA8CA7AE0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0"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795978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20165-54F3-4298-A543-B9D371752A81}" name="PivotTable7" cacheId="6" applyNumberFormats="0" applyBorderFormats="0" applyFontFormats="0" applyPatternFormats="0" applyAlignmentFormats="0" applyWidthHeightFormats="1" dataCaption="Values" tag="58fc59bc-c090-4dfe-a090-ce003560159c" updatedVersion="8" minRefreshableVersion="3" subtotalHiddenItems="1" itemPrintTitles="1" createdVersion="5" indent="0" outline="1" outlineData="1" multipleFieldFilters="0" chartFormat="14">
  <location ref="B36:D3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
      <pivotArea outline="0" collapsedLevelsAreSubtotals="1" fieldPosition="0"/>
    </format>
    <format dxfId="1">
      <pivotArea collapsedLevelsAreSubtotals="1" fieldPosition="0">
        <references count="1">
          <reference field="2" count="0"/>
        </references>
      </pivotArea>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multipleItemSelectionAllowed="1"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4C71E8-59FD-4E74-A456-854528F83388}" name="PivotTable12" cacheId="10" applyNumberFormats="0" applyBorderFormats="0" applyFontFormats="0" applyPatternFormats="0" applyAlignmentFormats="0" applyWidthHeightFormats="1" dataCaption="Values" tag="c951b8c8-7efd-4bd8-9bd2-91fc4a4efa30" updatedVersion="8" minRefreshableVersion="3" subtotalHiddenItems="1" itemPrintTitles="1" createdVersion="5" indent="0" outline="1" outlineData="1" multipleFieldFilters="0" chartFormat="29">
  <location ref="M40:N4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3">
    <format dxfId="5">
      <pivotArea outline="0" collapsedLevelsAreSubtotals="1" fieldPosition="0"/>
    </format>
    <format dxfId="4">
      <pivotArea grandRow="1" outline="0" collapsedLevelsAreSubtotals="1" fieldPosition="0"/>
    </format>
    <format dxfId="3">
      <pivotArea collapsedLevelsAreSubtotals="1" fieldPosition="0">
        <references count="1">
          <reference field="1" count="0"/>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5F12F-523E-47A0-9807-8DCF4855EC0A}" name="PivotTable9" cacheId="7" applyNumberFormats="0" applyBorderFormats="0" applyFontFormats="0" applyPatternFormats="0" applyAlignmentFormats="0" applyWidthHeightFormats="1" dataCaption="Values" tag="f6cb4a1b-5d06-47b6-a0f2-a2fcce0d88f9" updatedVersion="8" minRefreshableVersion="3" useAutoFormatting="1" subtotalHiddenItems="1" itemPrintTitles="1" createdVersion="5" indent="0" outline="1" outlineData="1" multipleFieldFilters="0" chartFormat="9">
  <location ref="G47:H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3">
    <format dxfId="8">
      <pivotArea outline="0" collapsedLevelsAreSubtotals="1" fieldPosition="0"/>
    </format>
    <format dxfId="7">
      <pivotArea collapsedLevelsAreSubtotals="1" fieldPosition="0">
        <references count="1">
          <reference field="1" count="0"/>
        </references>
      </pivotArea>
    </format>
    <format dxfId="6">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39A39-EEE8-4CA6-9505-E62B4082BF55}" name="PivotTable5" cacheId="3" applyNumberFormats="0" applyBorderFormats="0" applyFontFormats="0" applyPatternFormats="0" applyAlignmentFormats="0" applyWidthHeightFormats="1" dataCaption="Values" tag="4e86dc04-0f7c-4b3d-8da0-195303868060" updatedVersion="8" minRefreshableVersion="3" useAutoFormatting="1" subtotalHiddenItems="1" itemPrintTitles="1" createdVersion="5"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5">
    <pivotHierarchy multipleItemSelectionAllowed="1"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5F5C94-3AC0-4857-9F75-FFEBCC9FEC59}" name="PivotTable2" cacheId="1" applyNumberFormats="0" applyBorderFormats="0" applyFontFormats="0" applyPatternFormats="0" applyAlignmentFormats="0" applyWidthHeightFormats="1" dataCaption="Values" tag="10dee4c9-f374-4981-b8ce-15245ebc87c0" updatedVersion="8" minRefreshableVersion="3" useAutoFormatting="1" subtotalHiddenItems="1" itemPrintTitles="1" createdVersion="5" indent="0" outline="1" outlineData="1" multipleFieldFilters="0" chartFormat="2">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2A238-C864-48A1-B275-8137E30AF96B}" name="PivotTable10" cacheId="8" applyNumberFormats="0" applyBorderFormats="0" applyFontFormats="0" applyPatternFormats="0" applyAlignmentFormats="0" applyWidthHeightFormats="1" dataCaption="Values" tag="48211bec-1c26-4752-9e46-850bf0b104cd" updatedVersion="8" minRefreshableVersion="3" useAutoFormatting="1" subtotalHiddenItems="1" itemPrintTitles="1" createdVersion="5" indent="0" outline="1" outlineData="1" multipleFieldFilters="0" chartFormat="17">
  <location ref="J40:K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2">
      <pivotArea outline="0" collapsedLevelsAreSubtotals="1" fieldPosition="0"/>
    </format>
    <format dxfId="11">
      <pivotArea grandRow="1" outline="0" collapsedLevelsAreSubtotals="1" fieldPosition="0"/>
    </format>
    <format dxfId="10">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727C6-31A3-4D2F-95C8-6D3EE6336295}" name="PivotTable11" cacheId="9" applyNumberFormats="0" applyBorderFormats="0" applyFontFormats="0" applyPatternFormats="0" applyAlignmentFormats="0" applyWidthHeightFormats="1" dataCaption="Values" tag="f9f1277b-08d3-4b33-bf31-420146ae5abf" updatedVersion="8" minRefreshableVersion="3" useAutoFormatting="1" subtotalHiddenItems="1" itemPrintTitles="1" createdVersion="5" indent="0" outline="1" outlineData="1" multipleFieldFilters="0" chartFormat="23">
  <location ref="J47:K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4">
      <pivotArea outline="0" collapsedLevelsAreSubtotals="1" fieldPosition="0"/>
    </format>
    <format dxfId="13">
      <pivotArea grandRow="1"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F03ACC-A54A-49E5-AEB3-20703BDCB80B}" name="PivotTable6" cacheId="5" applyNumberFormats="0" applyBorderFormats="0" applyFontFormats="0" applyPatternFormats="0" applyAlignmentFormats="0" applyWidthHeightFormats="1" dataCaption="Values" tag="51c9bfe0-33e6-4a55-ad51-5fd5d0ad2bab" updatedVersion="8" minRefreshableVersion="3" useAutoFormatting="1" subtotalHiddenItems="1" itemPrintTitles="1" createdVersion="5" indent="0" outline="1" outlineData="1" multipleFieldFilters="0" chartFormat="27">
  <location ref="J3:K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1" subtotal="average" baseField="0" baseItem="0"/>
  </dataFields>
  <formats count="1">
    <format dxfId="15">
      <pivotArea collapsedLevelsAreSubtotals="1" fieldPosition="0">
        <references count="1">
          <reference field="0" count="0"/>
        </references>
      </pivotArea>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842EA8-F72E-4040-98A3-05653A868ED8}" name="PivotTable13" cacheId="11" applyNumberFormats="0" applyBorderFormats="0" applyFontFormats="0" applyPatternFormats="0" applyAlignmentFormats="0" applyWidthHeightFormats="1" dataCaption="Values" tag="138d1d8e-eb43-4888-abb0-49a72e878b31" updatedVersion="8" minRefreshableVersion="3" useAutoFormatting="1" subtotalHiddenItems="1" itemPrintTitles="1" createdVersion="5" indent="0" outline="1" outlineData="1" multipleFieldFilters="0" chartFormat="17">
  <location ref="M30:M3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17">
      <pivotArea outline="0" collapsedLevelsAreSubtotals="1" fieldPosition="0"/>
    </format>
    <format dxfId="16">
      <pivotArea grandRow="1"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5E4EFA-6B65-43B7-9F2A-C1FB8EAE1D38}" name="PivotTable3" cacheId="4" applyNumberFormats="0" applyBorderFormats="0" applyFontFormats="0" applyPatternFormats="0" applyAlignmentFormats="0" applyWidthHeightFormats="1" dataCaption="Values" tag="1d47da13-a426-4785-9d61-fe54ce0e58c5" updatedVersion="8" minRefreshableVersion="3" useAutoFormatting="1" subtotalHiddenItems="1" itemPrintTitles="1" createdVersion="5" indent="0" outline="1" outlineData="1" multipleFieldFilters="0" chartFormat="35">
  <location ref="G3:H34"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8">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A5BF41-0AD6-44A5-9184-A4B2D3F5BA6D}" name="PivotTable4" cacheId="2" applyNumberFormats="0" applyBorderFormats="0" applyFontFormats="0" applyPatternFormats="0" applyAlignmentFormats="0" applyWidthHeightFormats="1" dataCaption="Values" tag="2de1618e-c6ec-430f-bead-cf3973299dfc" updatedVersion="8" minRefreshableVersion="3" useAutoFormatting="1"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
      <pivotArea outline="0" collapsedLevelsAreSubtotals="1" fieldPosition="0"/>
    </format>
  </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9DA622-FE90-40C4-994E-61203491F784}" name="PivotTable1" cacheId="0" applyNumberFormats="0" applyBorderFormats="0" applyFontFormats="0" applyPatternFormats="0" applyAlignmentFormats="0" applyWidthHeightFormats="1" dataCaption="Values" tag="51f36b16-0c12-4301-8b3e-6e24e0158b2c" updatedVersion="8" minRefreshableVersion="3" useAutoFormatting="1" subtotalHiddenItems="1" itemPrintTitles="1" createdVersion="5" indent="0" outline="1" outlineData="1" multipleFieldFilters="0" chartFormat="19">
  <location ref="D3:E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Year)].&amp;[2023]"/>
      </members>
    </pivotHierarchy>
    <pivotHierarchy dragToData="1"/>
    <pivotHierarchy multipleItemSelectionAllowed="1" dragToData="1">
      <members count="1" level="1">
        <member name="[Calender_Table].[Dates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BCAA6E11-EE1F-4874-BEEE-C7B5B1A016EA}" sourceName="[Calender_Table].[Dates (Month)]">
  <pivotTables>
    <pivotTable tabId="4" name="PivotTable1"/>
    <pivotTable tabId="4" name="PivotTable2"/>
    <pivotTable tabId="4" name="PivotTable4"/>
    <pivotTable tabId="4" name="PivotTable5"/>
    <pivotTable tabId="4" name="PivotTable3"/>
    <pivotTable tabId="4" name="PivotTable6"/>
    <pivotTable tabId="4" name="PivotTable7"/>
    <pivotTable tabId="4" name="PivotTable9"/>
    <pivotTable tabId="4" name="PivotTable10"/>
    <pivotTable tabId="4" name="PivotTable11"/>
    <pivotTable tabId="4" name="PivotTable12"/>
    <pivotTable tabId="4" name="PivotTable13"/>
  </pivotTables>
  <data>
    <olap pivotCacheId="1902912949">
      <levels count="2">
        <level uniqueName="[Calender_Table].[Dates (Month)].[(All)]" sourceCaption="(All)" count="0"/>
        <level uniqueName="[Calender_Table].[Dates (Month)].[Dates (Month)]" sourceCaption="Dates (Month)" count="12" crossFilter="showItemsWithNoData">
          <ranges>
            <range startItem="0">
              <i n="[Calender_Table].[Dates (Month)].&amp;[Jan]" c="Jan" nd="1"/>
              <i n="[Calender_Table].[Dates (Month)].&amp;[Feb]" c="Feb" nd="1"/>
              <i n="[Calender_Table].[Dates (Month)].&amp;[Mar]" c="Mar" nd="1"/>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range>
          </ranges>
        </level>
      </levels>
      <selections count="1">
        <selection n="[Calender_Table].[Dates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25A40BC8-2D5F-4D1D-A059-B1FFA7480A16}" sourceName="[Calender_Table].[Dates (Year)]">
  <pivotTables>
    <pivotTable tabId="4" name="PivotTable13"/>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olap pivotCacheId="2003127483">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mp;[202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D6E94A1-E411-4608-904B-F4511CBE06A6}" sourceName="[Hospital Emergency Room Data].[Age Group]">
  <pivotTables>
    <pivotTable tabId="4" name="PivotTable9"/>
  </pivotTables>
  <data>
    <olap pivotCacheId="679597885">
      <levels count="2">
        <level uniqueName="[Hospital Emergency Room Data].[Age Group].[(All)]" sourceCaption="(All)" count="0"/>
        <level uniqueName="[Hospital Emergency Room Data].[Age Group].[Age Group]" sourceCaption="Age Group" count="8">
          <ranges>
            <range startItem="0">
              <i n="[Hospital Emergency Room Data].[Age Group].&amp;[0-9]" c="0-9"/>
              <i n="[Hospital Emergency Room Data].[Age Group].&amp;[10-19]" c="10-19"/>
              <i n="[Hospital Emergency Room Data].[Age Group].&amp;[20-29]" c="20-29"/>
              <i n="[Hospital Emergency Room Data].[Age Group].&amp;[30-39]" c="30-39"/>
              <i n="[Hospital Emergency Room Data].[Age Group].&amp;[40-49]" c="40-49"/>
              <i n="[Hospital Emergency Room Data].[Age Group].&amp;[50-59]" c="50-59"/>
              <i n="[Hospital Emergency Room Data].[Age Group].&amp;[60-69]" c="60-69"/>
              <i n="[Hospital Emergency Room Data].[Age Group].&amp;[70-79]" c="70-79"/>
            </range>
          </ranges>
        </level>
      </levels>
      <selections count="1">
        <selection n="[Hospital Emergency Room Data].[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F7D6C66-4C4E-4456-AE0C-D1D00B7605F2}" cache="Slicer_Age_Group" caption="Age Group"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E49A2B2D-BE2E-4C53-A6AE-BA7C5759FB57}" cache="Slicer_Dates__Month" caption="Dates (Month)" showCaption="0" level="1" style="my style" rowHeight="274320"/>
  <slicer name="Dates (Year)" xr10:uid="{D46F2D50-FC28-4094-A4C2-10DC14287444}" cache="Slicer_Dates__Year" caption="Dates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43A6-F5F9-43D5-AA55-853487F83302}">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AC9B-3BAC-4B4E-8F61-FDDB59E4227B}">
  <dimension ref="B2:N56"/>
  <sheetViews>
    <sheetView zoomScale="109" workbookViewId="0">
      <selection activeCell="H47" sqref="H47"/>
    </sheetView>
  </sheetViews>
  <sheetFormatPr defaultRowHeight="14.4" x14ac:dyDescent="0.3"/>
  <cols>
    <col min="2" max="2" width="32.77734375" bestFit="1" customWidth="1"/>
    <col min="3" max="3" width="13" customWidth="1"/>
    <col min="4" max="4" width="12.5546875" bestFit="1" customWidth="1"/>
    <col min="5" max="5" width="24.5546875" bestFit="1" customWidth="1"/>
    <col min="6" max="6" width="22.33203125" bestFit="1" customWidth="1"/>
    <col min="7" max="7" width="12.5546875" bestFit="1" customWidth="1"/>
    <col min="8" max="8" width="19" bestFit="1" customWidth="1"/>
    <col min="9" max="9" width="17.44140625" bestFit="1" customWidth="1"/>
    <col min="10" max="10" width="12.5546875" bestFit="1" customWidth="1"/>
    <col min="11" max="12" width="22.21875" bestFit="1" customWidth="1"/>
    <col min="13" max="13" width="12.5546875" bestFit="1" customWidth="1"/>
    <col min="14" max="14" width="27.77734375" bestFit="1" customWidth="1"/>
    <col min="15" max="15" width="26.88671875" bestFit="1" customWidth="1"/>
    <col min="16" max="34" width="9.88671875" bestFit="1" customWidth="1"/>
    <col min="35" max="35" width="8.88671875" bestFit="1" customWidth="1"/>
    <col min="44" max="65" width="9.88671875" bestFit="1" customWidth="1"/>
    <col min="74" max="74" width="8.88671875" bestFit="1" customWidth="1"/>
    <col min="75" max="95" width="9.88671875" bestFit="1" customWidth="1"/>
    <col min="105" max="126" width="9.88671875" bestFit="1" customWidth="1"/>
    <col min="135" max="135" width="8.88671875" bestFit="1" customWidth="1"/>
    <col min="136" max="157" width="9.88671875" bestFit="1" customWidth="1"/>
    <col min="165" max="166" width="8.88671875" bestFit="1" customWidth="1"/>
    <col min="167" max="196" width="9.88671875" bestFit="1" customWidth="1"/>
    <col min="197" max="218" width="10.88671875" bestFit="1" customWidth="1"/>
    <col min="219" max="227" width="9.88671875" bestFit="1" customWidth="1"/>
    <col min="228" max="248" width="10.88671875" bestFit="1" customWidth="1"/>
    <col min="249" max="257" width="9.88671875" bestFit="1" customWidth="1"/>
    <col min="258" max="279" width="10.88671875" bestFit="1" customWidth="1"/>
    <col min="287" max="288" width="8.88671875" bestFit="1" customWidth="1"/>
    <col min="289" max="310" width="9.88671875" bestFit="1" customWidth="1"/>
    <col min="318" max="319" width="8.88671875" bestFit="1" customWidth="1"/>
    <col min="320" max="339" width="9.88671875" bestFit="1" customWidth="1"/>
    <col min="349" max="370" width="9.88671875" bestFit="1" customWidth="1"/>
    <col min="380" max="400" width="9.88671875" bestFit="1" customWidth="1"/>
    <col min="401" max="401" width="8.88671875" bestFit="1" customWidth="1"/>
    <col min="410" max="431" width="9.88671875" bestFit="1" customWidth="1"/>
    <col min="441" max="461" width="9.88671875" bestFit="1" customWidth="1"/>
    <col min="462" max="470" width="8.88671875" bestFit="1" customWidth="1"/>
    <col min="471" max="492" width="9.88671875" bestFit="1" customWidth="1"/>
    <col min="493" max="501" width="8.88671875" bestFit="1" customWidth="1"/>
    <col min="502" max="523" width="9.88671875" bestFit="1" customWidth="1"/>
    <col min="524" max="532" width="8.88671875" bestFit="1" customWidth="1"/>
    <col min="533" max="562" width="9.88671875" bestFit="1" customWidth="1"/>
    <col min="563" max="583" width="10.88671875" bestFit="1" customWidth="1"/>
    <col min="584" max="584" width="11.109375" bestFit="1" customWidth="1"/>
  </cols>
  <sheetData>
    <row r="2" spans="2:11" x14ac:dyDescent="0.3">
      <c r="D2" t="s">
        <v>20</v>
      </c>
    </row>
    <row r="3" spans="2:11" x14ac:dyDescent="0.3">
      <c r="B3" t="s">
        <v>0</v>
      </c>
      <c r="D3" s="5" t="s">
        <v>4</v>
      </c>
      <c r="E3" t="s">
        <v>0</v>
      </c>
      <c r="G3" s="5" t="s">
        <v>4</v>
      </c>
      <c r="H3" t="s">
        <v>1</v>
      </c>
      <c r="J3" s="5" t="s">
        <v>4</v>
      </c>
      <c r="K3" t="s">
        <v>2</v>
      </c>
    </row>
    <row r="4" spans="2:11" x14ac:dyDescent="0.3">
      <c r="B4">
        <v>506</v>
      </c>
      <c r="D4" s="6" t="s">
        <v>39</v>
      </c>
      <c r="E4">
        <v>26</v>
      </c>
      <c r="G4" s="6" t="s">
        <v>39</v>
      </c>
      <c r="H4" s="1">
        <v>34.884615384615387</v>
      </c>
      <c r="J4" s="6" t="s">
        <v>39</v>
      </c>
      <c r="K4" s="1">
        <v>4.8</v>
      </c>
    </row>
    <row r="5" spans="2:11" x14ac:dyDescent="0.3">
      <c r="D5" s="6" t="s">
        <v>40</v>
      </c>
      <c r="E5">
        <v>17</v>
      </c>
      <c r="G5" s="6" t="s">
        <v>40</v>
      </c>
      <c r="H5" s="1">
        <v>34.941176470588232</v>
      </c>
      <c r="J5" s="6" t="s">
        <v>40</v>
      </c>
      <c r="K5" s="1">
        <v>5.333333333333333</v>
      </c>
    </row>
    <row r="6" spans="2:11" x14ac:dyDescent="0.3">
      <c r="D6" s="6" t="s">
        <v>41</v>
      </c>
      <c r="E6">
        <v>19</v>
      </c>
      <c r="G6" s="6" t="s">
        <v>41</v>
      </c>
      <c r="H6" s="1">
        <v>32.736842105263158</v>
      </c>
      <c r="J6" s="6" t="s">
        <v>41</v>
      </c>
      <c r="K6" s="1">
        <v>6.666666666666667</v>
      </c>
    </row>
    <row r="7" spans="2:11" x14ac:dyDescent="0.3">
      <c r="D7" s="6" t="s">
        <v>42</v>
      </c>
      <c r="E7">
        <v>17</v>
      </c>
      <c r="G7" s="6" t="s">
        <v>42</v>
      </c>
      <c r="H7" s="1">
        <v>34.411764705882355</v>
      </c>
      <c r="J7" s="6" t="s">
        <v>42</v>
      </c>
      <c r="K7" s="1">
        <v>4.5555555555555554</v>
      </c>
    </row>
    <row r="8" spans="2:11" x14ac:dyDescent="0.3">
      <c r="D8" s="6" t="s">
        <v>43</v>
      </c>
      <c r="E8">
        <v>18</v>
      </c>
      <c r="G8" s="6" t="s">
        <v>43</v>
      </c>
      <c r="H8" s="1">
        <v>34.388888888888886</v>
      </c>
      <c r="J8" s="6" t="s">
        <v>43</v>
      </c>
      <c r="K8" s="1">
        <v>4.333333333333333</v>
      </c>
    </row>
    <row r="9" spans="2:11" x14ac:dyDescent="0.3">
      <c r="B9" t="s">
        <v>1</v>
      </c>
      <c r="D9" s="6" t="s">
        <v>44</v>
      </c>
      <c r="E9">
        <v>17</v>
      </c>
      <c r="G9" s="6" t="s">
        <v>44</v>
      </c>
      <c r="H9" s="1">
        <v>33.294117647058826</v>
      </c>
      <c r="J9" s="6" t="s">
        <v>44</v>
      </c>
      <c r="K9" s="1">
        <v>7.333333333333333</v>
      </c>
    </row>
    <row r="10" spans="2:11" x14ac:dyDescent="0.3">
      <c r="B10" s="1">
        <v>35.581027667984188</v>
      </c>
      <c r="D10" s="6" t="s">
        <v>45</v>
      </c>
      <c r="E10">
        <v>17</v>
      </c>
      <c r="G10" s="6" t="s">
        <v>45</v>
      </c>
      <c r="H10" s="1">
        <v>35</v>
      </c>
      <c r="J10" s="6" t="s">
        <v>45</v>
      </c>
      <c r="K10" s="1">
        <v>5.25</v>
      </c>
    </row>
    <row r="11" spans="2:11" x14ac:dyDescent="0.3">
      <c r="D11" s="6" t="s">
        <v>46</v>
      </c>
      <c r="E11">
        <v>19</v>
      </c>
      <c r="G11" s="6" t="s">
        <v>46</v>
      </c>
      <c r="H11" s="1">
        <v>36.736842105263158</v>
      </c>
      <c r="J11" s="6" t="s">
        <v>46</v>
      </c>
      <c r="K11" s="1">
        <v>6.333333333333333</v>
      </c>
    </row>
    <row r="12" spans="2:11" x14ac:dyDescent="0.3">
      <c r="D12" s="6" t="s">
        <v>47</v>
      </c>
      <c r="E12">
        <v>19</v>
      </c>
      <c r="G12" s="6" t="s">
        <v>47</v>
      </c>
      <c r="H12" s="1">
        <v>37.368421052631582</v>
      </c>
      <c r="J12" s="6" t="s">
        <v>47</v>
      </c>
      <c r="K12" s="1">
        <v>5.7142857142857144</v>
      </c>
    </row>
    <row r="13" spans="2:11" x14ac:dyDescent="0.3">
      <c r="D13" s="6" t="s">
        <v>48</v>
      </c>
      <c r="E13">
        <v>14</v>
      </c>
      <c r="G13" s="6" t="s">
        <v>48</v>
      </c>
      <c r="H13" s="1">
        <v>31.428571428571427</v>
      </c>
      <c r="J13" s="6" t="s">
        <v>48</v>
      </c>
      <c r="K13" s="1">
        <v>5</v>
      </c>
    </row>
    <row r="14" spans="2:11" x14ac:dyDescent="0.3">
      <c r="B14" t="s">
        <v>2</v>
      </c>
      <c r="D14" s="6" t="s">
        <v>49</v>
      </c>
      <c r="E14">
        <v>17</v>
      </c>
      <c r="G14" s="6" t="s">
        <v>49</v>
      </c>
      <c r="H14" s="1">
        <v>45.470588235294116</v>
      </c>
      <c r="J14" s="6" t="s">
        <v>49</v>
      </c>
      <c r="K14" s="1">
        <v>6.166666666666667</v>
      </c>
    </row>
    <row r="15" spans="2:11" x14ac:dyDescent="0.3">
      <c r="B15" s="1">
        <v>5.1818181818181817</v>
      </c>
      <c r="D15" s="6" t="s">
        <v>50</v>
      </c>
      <c r="E15">
        <v>20</v>
      </c>
      <c r="G15" s="6" t="s">
        <v>50</v>
      </c>
      <c r="H15" s="1">
        <v>32.549999999999997</v>
      </c>
      <c r="J15" s="6" t="s">
        <v>50</v>
      </c>
      <c r="K15" s="1">
        <v>3</v>
      </c>
    </row>
    <row r="16" spans="2:11" x14ac:dyDescent="0.3">
      <c r="D16" s="6" t="s">
        <v>51</v>
      </c>
      <c r="E16">
        <v>13</v>
      </c>
      <c r="G16" s="6" t="s">
        <v>51</v>
      </c>
      <c r="H16" s="1">
        <v>39.615384615384613</v>
      </c>
      <c r="J16" s="6" t="s">
        <v>51</v>
      </c>
      <c r="K16" s="1">
        <v>4.5</v>
      </c>
    </row>
    <row r="17" spans="4:13" x14ac:dyDescent="0.3">
      <c r="D17" s="6" t="s">
        <v>52</v>
      </c>
      <c r="E17">
        <v>14</v>
      </c>
      <c r="G17" s="6" t="s">
        <v>52</v>
      </c>
      <c r="H17" s="1">
        <v>36</v>
      </c>
      <c r="J17" s="6" t="s">
        <v>52</v>
      </c>
      <c r="K17" s="1">
        <v>4.666666666666667</v>
      </c>
    </row>
    <row r="18" spans="4:13" x14ac:dyDescent="0.3">
      <c r="D18" s="6" t="s">
        <v>53</v>
      </c>
      <c r="E18">
        <v>15</v>
      </c>
      <c r="G18" s="6" t="s">
        <v>53</v>
      </c>
      <c r="H18" s="1">
        <v>31.6</v>
      </c>
      <c r="J18" s="6" t="s">
        <v>53</v>
      </c>
      <c r="K18" s="1">
        <v>9</v>
      </c>
    </row>
    <row r="19" spans="4:13" x14ac:dyDescent="0.3">
      <c r="D19" s="6" t="s">
        <v>54</v>
      </c>
      <c r="E19">
        <v>13</v>
      </c>
      <c r="G19" s="6" t="s">
        <v>54</v>
      </c>
      <c r="H19" s="1">
        <v>33.846153846153847</v>
      </c>
      <c r="J19" s="6" t="s">
        <v>54</v>
      </c>
      <c r="K19" s="1">
        <v>1.5</v>
      </c>
    </row>
    <row r="20" spans="4:13" x14ac:dyDescent="0.3">
      <c r="D20" s="6" t="s">
        <v>55</v>
      </c>
      <c r="E20">
        <v>15</v>
      </c>
      <c r="G20" s="6" t="s">
        <v>55</v>
      </c>
      <c r="H20" s="1">
        <v>31.8</v>
      </c>
      <c r="J20" s="6" t="s">
        <v>55</v>
      </c>
      <c r="K20" s="1">
        <v>6.8</v>
      </c>
    </row>
    <row r="21" spans="4:13" x14ac:dyDescent="0.3">
      <c r="D21" s="6" t="s">
        <v>56</v>
      </c>
      <c r="E21">
        <v>17</v>
      </c>
      <c r="G21" s="6" t="s">
        <v>56</v>
      </c>
      <c r="H21" s="1">
        <v>36</v>
      </c>
      <c r="J21" s="6" t="s">
        <v>56</v>
      </c>
      <c r="K21" s="1">
        <v>4.625</v>
      </c>
    </row>
    <row r="22" spans="4:13" x14ac:dyDescent="0.3">
      <c r="D22" s="6" t="s">
        <v>57</v>
      </c>
      <c r="E22">
        <v>10</v>
      </c>
      <c r="G22" s="6" t="s">
        <v>57</v>
      </c>
      <c r="H22" s="1">
        <v>29.8</v>
      </c>
      <c r="J22" s="6" t="s">
        <v>57</v>
      </c>
      <c r="K22" s="1">
        <v>4.333333333333333</v>
      </c>
    </row>
    <row r="23" spans="4:13" x14ac:dyDescent="0.3">
      <c r="D23" s="6" t="s">
        <v>58</v>
      </c>
      <c r="E23">
        <v>13</v>
      </c>
      <c r="G23" s="6" t="s">
        <v>58</v>
      </c>
      <c r="H23" s="1">
        <v>41.307692307692307</v>
      </c>
      <c r="J23" s="6" t="s">
        <v>58</v>
      </c>
      <c r="K23" s="1">
        <v>1.3333333333333333</v>
      </c>
    </row>
    <row r="24" spans="4:13" x14ac:dyDescent="0.3">
      <c r="D24" s="6" t="s">
        <v>59</v>
      </c>
      <c r="E24">
        <v>17</v>
      </c>
      <c r="G24" s="6" t="s">
        <v>59</v>
      </c>
      <c r="H24" s="1">
        <v>29.764705882352942</v>
      </c>
      <c r="J24" s="6" t="s">
        <v>59</v>
      </c>
      <c r="K24" s="1">
        <v>5</v>
      </c>
    </row>
    <row r="25" spans="4:13" x14ac:dyDescent="0.3">
      <c r="D25" s="6" t="s">
        <v>60</v>
      </c>
      <c r="E25">
        <v>26</v>
      </c>
      <c r="G25" s="6" t="s">
        <v>60</v>
      </c>
      <c r="H25" s="1">
        <v>37.92307692307692</v>
      </c>
      <c r="J25" s="6" t="s">
        <v>60</v>
      </c>
      <c r="K25" s="1">
        <v>3.1666666666666665</v>
      </c>
    </row>
    <row r="26" spans="4:13" x14ac:dyDescent="0.3">
      <c r="D26" s="6" t="s">
        <v>61</v>
      </c>
      <c r="E26">
        <v>8</v>
      </c>
      <c r="G26" s="6" t="s">
        <v>61</v>
      </c>
      <c r="H26" s="1">
        <v>38.625</v>
      </c>
      <c r="J26" s="6" t="s">
        <v>61</v>
      </c>
      <c r="K26" s="1">
        <v>7.5</v>
      </c>
    </row>
    <row r="27" spans="4:13" x14ac:dyDescent="0.3">
      <c r="D27" s="6" t="s">
        <v>62</v>
      </c>
      <c r="E27">
        <v>17</v>
      </c>
      <c r="G27" s="6" t="s">
        <v>62</v>
      </c>
      <c r="H27" s="1">
        <v>41.470588235294116</v>
      </c>
      <c r="J27" s="6" t="s">
        <v>62</v>
      </c>
      <c r="K27" s="1">
        <v>4.2</v>
      </c>
    </row>
    <row r="28" spans="4:13" x14ac:dyDescent="0.3">
      <c r="D28" s="6" t="s">
        <v>63</v>
      </c>
      <c r="E28">
        <v>18</v>
      </c>
      <c r="G28" s="6" t="s">
        <v>63</v>
      </c>
      <c r="H28" s="1">
        <v>39.5</v>
      </c>
      <c r="J28" s="6" t="s">
        <v>63</v>
      </c>
      <c r="K28" s="1">
        <v>4.625</v>
      </c>
    </row>
    <row r="29" spans="4:13" x14ac:dyDescent="0.3">
      <c r="D29" s="6" t="s">
        <v>64</v>
      </c>
      <c r="E29">
        <v>19</v>
      </c>
      <c r="G29" s="6" t="s">
        <v>64</v>
      </c>
      <c r="H29" s="1">
        <v>29.736842105263158</v>
      </c>
      <c r="J29" s="6" t="s">
        <v>64</v>
      </c>
      <c r="K29" s="1">
        <v>9.6666666666666661</v>
      </c>
    </row>
    <row r="30" spans="4:13" x14ac:dyDescent="0.3">
      <c r="D30" s="6" t="s">
        <v>65</v>
      </c>
      <c r="E30">
        <v>20</v>
      </c>
      <c r="G30" s="6" t="s">
        <v>65</v>
      </c>
      <c r="H30" s="1">
        <v>37.75</v>
      </c>
      <c r="J30" s="6" t="s">
        <v>65</v>
      </c>
      <c r="K30" s="1">
        <v>6.125</v>
      </c>
      <c r="M30" s="5" t="s">
        <v>4</v>
      </c>
    </row>
    <row r="31" spans="4:13" x14ac:dyDescent="0.3">
      <c r="D31" s="6" t="s">
        <v>66</v>
      </c>
      <c r="E31">
        <v>23</v>
      </c>
      <c r="G31" s="6" t="s">
        <v>66</v>
      </c>
      <c r="H31" s="1">
        <v>37.782608695652172</v>
      </c>
      <c r="J31" s="6" t="s">
        <v>66</v>
      </c>
      <c r="K31" s="1">
        <v>5.5555555555555554</v>
      </c>
      <c r="M31" s="6" t="s">
        <v>38</v>
      </c>
    </row>
    <row r="32" spans="4:13" x14ac:dyDescent="0.3">
      <c r="D32" s="6" t="s">
        <v>67</v>
      </c>
      <c r="E32">
        <v>16</v>
      </c>
      <c r="G32" s="6" t="s">
        <v>67</v>
      </c>
      <c r="H32" s="1">
        <v>34.1875</v>
      </c>
      <c r="J32" s="6" t="s">
        <v>67</v>
      </c>
      <c r="K32" s="1">
        <v>6.333333333333333</v>
      </c>
      <c r="M32" s="6" t="s">
        <v>3</v>
      </c>
    </row>
    <row r="33" spans="2:14" x14ac:dyDescent="0.3">
      <c r="D33" s="6" t="s">
        <v>68</v>
      </c>
      <c r="E33">
        <v>12</v>
      </c>
      <c r="G33" s="6" t="s">
        <v>68</v>
      </c>
      <c r="H33" s="1">
        <v>36.166666666666664</v>
      </c>
      <c r="J33" s="6" t="s">
        <v>68</v>
      </c>
      <c r="K33" s="1">
        <v>5.333333333333333</v>
      </c>
    </row>
    <row r="34" spans="2:14" x14ac:dyDescent="0.3">
      <c r="D34" s="6" t="s">
        <v>3</v>
      </c>
      <c r="E34">
        <v>506</v>
      </c>
      <c r="G34" s="6" t="s">
        <v>3</v>
      </c>
      <c r="H34">
        <v>35.581027667984188</v>
      </c>
      <c r="J34" s="6" t="s">
        <v>3</v>
      </c>
      <c r="K34">
        <v>5.1818181818181817</v>
      </c>
    </row>
    <row r="36" spans="2:14" x14ac:dyDescent="0.3">
      <c r="B36" s="5" t="s">
        <v>4</v>
      </c>
      <c r="C36" t="s">
        <v>21</v>
      </c>
      <c r="D36" t="s">
        <v>22</v>
      </c>
    </row>
    <row r="37" spans="2:14" x14ac:dyDescent="0.3">
      <c r="B37" s="6" t="s">
        <v>7</v>
      </c>
      <c r="C37" s="7">
        <v>252</v>
      </c>
      <c r="D37" s="8">
        <v>0.49802371541501977</v>
      </c>
    </row>
    <row r="38" spans="2:14" x14ac:dyDescent="0.3">
      <c r="B38" s="6" t="s">
        <v>19</v>
      </c>
      <c r="C38" s="7">
        <v>254</v>
      </c>
      <c r="D38" s="8">
        <v>0.50197628458498023</v>
      </c>
    </row>
    <row r="39" spans="2:14" x14ac:dyDescent="0.3">
      <c r="B39" s="6" t="s">
        <v>3</v>
      </c>
      <c r="C39" s="1">
        <v>506</v>
      </c>
      <c r="D39" s="8">
        <v>1</v>
      </c>
    </row>
    <row r="40" spans="2:14" x14ac:dyDescent="0.3">
      <c r="J40" s="5" t="s">
        <v>4</v>
      </c>
      <c r="K40" t="s">
        <v>28</v>
      </c>
      <c r="M40" s="5" t="s">
        <v>4</v>
      </c>
      <c r="N40" t="s">
        <v>37</v>
      </c>
    </row>
    <row r="41" spans="2:14" ht="15" thickBot="1" x14ac:dyDescent="0.35">
      <c r="J41" s="6" t="s">
        <v>9</v>
      </c>
      <c r="K41" s="7">
        <v>311</v>
      </c>
      <c r="M41" s="6" t="s">
        <v>36</v>
      </c>
      <c r="N41" s="7">
        <v>2</v>
      </c>
    </row>
    <row r="42" spans="2:14" ht="15" thickBot="1" x14ac:dyDescent="0.35">
      <c r="B42" s="12" t="s">
        <v>23</v>
      </c>
      <c r="C42" s="12" t="s">
        <v>24</v>
      </c>
      <c r="D42" s="12" t="s">
        <v>25</v>
      </c>
      <c r="E42" s="12" t="s">
        <v>26</v>
      </c>
      <c r="G42" s="4"/>
      <c r="H42" s="4"/>
      <c r="J42" s="6" t="s">
        <v>12</v>
      </c>
      <c r="K42" s="7">
        <v>195</v>
      </c>
      <c r="M42" s="6" t="s">
        <v>31</v>
      </c>
      <c r="N42" s="7">
        <v>11</v>
      </c>
    </row>
    <row r="43" spans="2:14" ht="15" thickBot="1" x14ac:dyDescent="0.35">
      <c r="B43" s="9" t="str">
        <f>B38</f>
        <v>Not Admitted</v>
      </c>
      <c r="C43" s="10">
        <f>C38</f>
        <v>254</v>
      </c>
      <c r="D43" s="11">
        <f>D38</f>
        <v>0.50197628458498023</v>
      </c>
      <c r="E43" s="12"/>
      <c r="G43" s="6"/>
      <c r="H43" s="7"/>
      <c r="J43" s="6" t="s">
        <v>3</v>
      </c>
      <c r="K43" s="7">
        <v>506</v>
      </c>
      <c r="M43" s="6" t="s">
        <v>30</v>
      </c>
      <c r="N43" s="7">
        <v>12</v>
      </c>
    </row>
    <row r="44" spans="2:14" ht="15" thickBot="1" x14ac:dyDescent="0.35">
      <c r="B44" s="9" t="str">
        <f>B37</f>
        <v>Admitted</v>
      </c>
      <c r="C44" s="10">
        <f>C37</f>
        <v>252</v>
      </c>
      <c r="D44" s="11">
        <f>D37</f>
        <v>0.49802371541501977</v>
      </c>
      <c r="E44" s="12"/>
      <c r="G44" s="6"/>
      <c r="H44" s="7"/>
      <c r="M44" s="6" t="s">
        <v>33</v>
      </c>
      <c r="N44" s="7">
        <v>15</v>
      </c>
    </row>
    <row r="45" spans="2:14" x14ac:dyDescent="0.3">
      <c r="G45" s="13"/>
      <c r="H45" s="14"/>
      <c r="M45" s="6" t="s">
        <v>35</v>
      </c>
      <c r="N45" s="7">
        <v>18</v>
      </c>
    </row>
    <row r="46" spans="2:14" x14ac:dyDescent="0.3">
      <c r="B46" t="s">
        <v>23</v>
      </c>
      <c r="C46" t="s">
        <v>24</v>
      </c>
      <c r="D46" t="s">
        <v>25</v>
      </c>
      <c r="M46" s="6" t="s">
        <v>34</v>
      </c>
      <c r="N46" s="7">
        <v>60</v>
      </c>
    </row>
    <row r="47" spans="2:14" x14ac:dyDescent="0.3">
      <c r="B47" t="str">
        <f>B37</f>
        <v>Admitted</v>
      </c>
      <c r="C47" s="7">
        <f>C37</f>
        <v>252</v>
      </c>
      <c r="D47" s="7">
        <f>D37</f>
        <v>0.49802371541501977</v>
      </c>
      <c r="G47" s="5" t="s">
        <v>4</v>
      </c>
      <c r="H47" t="s">
        <v>27</v>
      </c>
      <c r="J47" s="5" t="s">
        <v>4</v>
      </c>
      <c r="K47" t="s">
        <v>29</v>
      </c>
      <c r="M47" s="6" t="s">
        <v>32</v>
      </c>
      <c r="N47" s="7">
        <v>83</v>
      </c>
    </row>
    <row r="48" spans="2:14" x14ac:dyDescent="0.3">
      <c r="B48" t="str">
        <f>B38</f>
        <v>Not Admitted</v>
      </c>
      <c r="C48" s="7">
        <f>C38</f>
        <v>254</v>
      </c>
      <c r="D48" s="7"/>
      <c r="G48" s="6" t="s">
        <v>16</v>
      </c>
      <c r="H48" s="7">
        <v>54</v>
      </c>
      <c r="J48" s="6" t="s">
        <v>18</v>
      </c>
      <c r="K48" s="1">
        <v>233</v>
      </c>
      <c r="M48" s="6" t="s">
        <v>6</v>
      </c>
      <c r="N48" s="7">
        <v>305</v>
      </c>
    </row>
    <row r="49" spans="7:14" x14ac:dyDescent="0.3">
      <c r="G49" s="6" t="s">
        <v>11</v>
      </c>
      <c r="H49" s="7">
        <v>72</v>
      </c>
      <c r="J49" s="6" t="s">
        <v>5</v>
      </c>
      <c r="K49" s="1">
        <v>273</v>
      </c>
      <c r="M49" s="6" t="s">
        <v>3</v>
      </c>
      <c r="N49" s="7">
        <v>506</v>
      </c>
    </row>
    <row r="50" spans="7:14" x14ac:dyDescent="0.3">
      <c r="G50" s="6" t="s">
        <v>15</v>
      </c>
      <c r="H50" s="7">
        <v>75</v>
      </c>
      <c r="J50" s="6" t="s">
        <v>3</v>
      </c>
      <c r="K50" s="7">
        <v>506</v>
      </c>
    </row>
    <row r="51" spans="7:14" x14ac:dyDescent="0.3">
      <c r="G51" s="6" t="s">
        <v>17</v>
      </c>
      <c r="H51" s="7">
        <v>62</v>
      </c>
    </row>
    <row r="52" spans="7:14" x14ac:dyDescent="0.3">
      <c r="G52" s="6" t="s">
        <v>13</v>
      </c>
      <c r="H52" s="7">
        <v>63</v>
      </c>
    </row>
    <row r="53" spans="7:14" x14ac:dyDescent="0.3">
      <c r="G53" s="6" t="s">
        <v>14</v>
      </c>
      <c r="H53" s="7">
        <v>49</v>
      </c>
    </row>
    <row r="54" spans="7:14" x14ac:dyDescent="0.3">
      <c r="G54" s="6" t="s">
        <v>8</v>
      </c>
      <c r="H54" s="7">
        <v>74</v>
      </c>
    </row>
    <row r="55" spans="7:14" x14ac:dyDescent="0.3">
      <c r="G55" s="6" t="s">
        <v>10</v>
      </c>
      <c r="H55" s="7">
        <v>57</v>
      </c>
    </row>
    <row r="56" spans="7:14" x14ac:dyDescent="0.3">
      <c r="G56" s="6" t="s">
        <v>3</v>
      </c>
      <c r="H56" s="7">
        <v>506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8324-7390-4495-9145-2E9D3475084C}">
  <dimension ref="A1:W29"/>
  <sheetViews>
    <sheetView tabSelected="1" zoomScale="101" zoomScaleNormal="100" workbookViewId="0">
      <selection activeCell="X14" sqref="X14"/>
    </sheetView>
  </sheetViews>
  <sheetFormatPr defaultRowHeight="14.4" x14ac:dyDescent="0.3"/>
  <cols>
    <col min="12" max="12" width="8.88671875" customWidth="1"/>
  </cols>
  <sheetData>
    <row r="1" spans="1:23" x14ac:dyDescent="0.3">
      <c r="A1" s="2"/>
      <c r="B1" s="2"/>
      <c r="C1" s="2"/>
      <c r="D1" s="2"/>
      <c r="E1" s="2"/>
      <c r="F1" s="2"/>
      <c r="G1" s="2"/>
      <c r="H1" s="2"/>
      <c r="I1" s="2"/>
      <c r="J1" s="2"/>
      <c r="K1" s="2"/>
      <c r="L1" s="2"/>
      <c r="M1" s="2"/>
      <c r="N1" s="2"/>
      <c r="O1" s="2"/>
      <c r="P1" s="2"/>
      <c r="Q1" s="2"/>
      <c r="R1" s="2"/>
      <c r="S1" s="2"/>
      <c r="T1" s="2"/>
      <c r="U1" s="2"/>
      <c r="V1" s="2"/>
      <c r="W1" s="3"/>
    </row>
    <row r="2" spans="1:23" x14ac:dyDescent="0.3">
      <c r="A2" s="2"/>
      <c r="B2" s="2"/>
      <c r="C2" s="2"/>
      <c r="D2" s="2"/>
      <c r="E2" s="2"/>
      <c r="F2" s="2"/>
      <c r="G2" s="2"/>
      <c r="H2" s="2"/>
      <c r="I2" s="2"/>
      <c r="J2" s="2"/>
      <c r="K2" s="2"/>
      <c r="L2" s="2"/>
      <c r="M2" s="2"/>
      <c r="N2" s="2"/>
      <c r="O2" s="2"/>
      <c r="P2" s="2"/>
      <c r="Q2" s="2"/>
      <c r="R2" s="2"/>
      <c r="S2" s="2"/>
      <c r="T2" s="2"/>
      <c r="U2" s="2"/>
      <c r="V2" s="2"/>
      <c r="W2" s="3"/>
    </row>
    <row r="3" spans="1:23" x14ac:dyDescent="0.3">
      <c r="A3" s="2"/>
      <c r="B3" s="2"/>
      <c r="C3" s="2"/>
      <c r="D3" s="2"/>
      <c r="E3" s="2"/>
      <c r="F3" s="2"/>
      <c r="G3" s="2"/>
      <c r="H3" s="2"/>
      <c r="I3" s="2"/>
      <c r="J3" s="2"/>
      <c r="K3" s="2"/>
      <c r="L3" s="2"/>
      <c r="M3" s="2"/>
      <c r="N3" s="2"/>
      <c r="O3" s="2"/>
      <c r="P3" s="2"/>
      <c r="Q3" s="2"/>
      <c r="R3" s="2"/>
      <c r="S3" s="15"/>
      <c r="T3" s="2"/>
      <c r="U3" s="2"/>
      <c r="V3" s="2"/>
      <c r="W3" s="3"/>
    </row>
    <row r="4" spans="1:23" x14ac:dyDescent="0.3">
      <c r="A4" s="2"/>
      <c r="B4" s="2"/>
      <c r="C4" s="2"/>
      <c r="D4" s="2"/>
      <c r="E4" s="2"/>
      <c r="F4" s="2"/>
      <c r="G4" s="2"/>
      <c r="H4" s="2"/>
      <c r="I4" s="2"/>
      <c r="J4" s="2"/>
      <c r="K4" s="2"/>
      <c r="L4" s="2"/>
      <c r="M4" s="2"/>
      <c r="N4" s="2"/>
      <c r="O4" s="2"/>
      <c r="P4" s="2"/>
      <c r="Q4" s="2"/>
      <c r="R4" s="2"/>
      <c r="S4" s="2"/>
      <c r="T4" s="2"/>
      <c r="U4" s="2"/>
      <c r="V4" s="2"/>
      <c r="W4" s="3"/>
    </row>
    <row r="5" spans="1:23" x14ac:dyDescent="0.3">
      <c r="A5" s="2"/>
      <c r="B5" s="2"/>
      <c r="C5" s="2"/>
      <c r="D5" s="2"/>
      <c r="E5" s="2"/>
      <c r="F5" s="2"/>
      <c r="G5" s="2"/>
      <c r="H5" s="2"/>
      <c r="I5" s="2"/>
      <c r="J5" s="2"/>
      <c r="K5" s="2"/>
      <c r="L5" s="2"/>
      <c r="M5" s="2"/>
      <c r="N5" s="2"/>
      <c r="O5" s="2"/>
      <c r="P5" s="2"/>
      <c r="Q5" s="2"/>
      <c r="R5" s="2"/>
      <c r="S5" s="2"/>
      <c r="T5" s="2"/>
      <c r="U5" s="2"/>
      <c r="V5" s="2"/>
      <c r="W5" s="3"/>
    </row>
    <row r="6" spans="1:23" x14ac:dyDescent="0.3">
      <c r="A6" s="2"/>
      <c r="B6" s="2"/>
      <c r="C6" s="2"/>
      <c r="D6" s="2"/>
      <c r="E6" s="2"/>
      <c r="F6" s="2"/>
      <c r="G6" s="2"/>
      <c r="H6" s="2"/>
      <c r="I6" s="2"/>
      <c r="J6" s="2"/>
      <c r="K6" s="2"/>
      <c r="L6" s="2"/>
      <c r="M6" s="2"/>
      <c r="N6" s="2"/>
      <c r="O6" s="2"/>
      <c r="P6" s="2"/>
      <c r="Q6" s="2"/>
      <c r="R6" s="2"/>
      <c r="S6" s="2"/>
      <c r="T6" s="2"/>
      <c r="U6" s="2"/>
      <c r="V6" s="2"/>
      <c r="W6" s="3"/>
    </row>
    <row r="7" spans="1:23" x14ac:dyDescent="0.3">
      <c r="A7" s="2"/>
      <c r="B7" s="2"/>
      <c r="C7" s="2"/>
      <c r="D7" s="2"/>
      <c r="E7" s="2"/>
      <c r="F7" s="2"/>
      <c r="G7" s="2"/>
      <c r="H7" s="2"/>
      <c r="I7" s="2"/>
      <c r="J7" s="2"/>
      <c r="K7" s="2"/>
      <c r="L7" s="2"/>
      <c r="M7" s="2"/>
      <c r="N7" s="2"/>
      <c r="O7" s="2"/>
      <c r="P7" s="2"/>
      <c r="Q7" s="2"/>
      <c r="R7" s="2"/>
      <c r="S7" s="2"/>
      <c r="T7" s="2"/>
      <c r="U7" s="2"/>
      <c r="V7" s="2"/>
      <c r="W7" s="3"/>
    </row>
    <row r="8" spans="1:23" x14ac:dyDescent="0.3">
      <c r="A8" s="2"/>
      <c r="B8" s="2"/>
      <c r="C8" s="2"/>
      <c r="D8" s="2"/>
      <c r="E8" s="2"/>
      <c r="F8" s="2"/>
      <c r="G8" s="2"/>
      <c r="H8" s="2"/>
      <c r="I8" s="2"/>
      <c r="J8" s="2"/>
      <c r="K8" s="2"/>
      <c r="L8" s="2"/>
      <c r="M8" s="2"/>
      <c r="N8" s="2"/>
      <c r="O8" s="2"/>
      <c r="P8" s="2"/>
      <c r="Q8" s="2"/>
      <c r="R8" s="2"/>
      <c r="S8" s="2"/>
      <c r="T8" s="2"/>
      <c r="U8" s="2"/>
      <c r="V8" s="2"/>
      <c r="W8" s="3"/>
    </row>
    <row r="9" spans="1:23" x14ac:dyDescent="0.3">
      <c r="A9" s="2"/>
      <c r="B9" s="2"/>
      <c r="C9" s="2"/>
      <c r="D9" s="2"/>
      <c r="E9" s="2"/>
      <c r="F9" s="2"/>
      <c r="G9" s="2"/>
      <c r="H9" s="2"/>
      <c r="I9" s="2"/>
      <c r="J9" s="2"/>
      <c r="K9" s="2"/>
      <c r="L9" s="2"/>
      <c r="M9" s="2"/>
      <c r="N9" s="2"/>
      <c r="O9" s="2"/>
      <c r="P9" s="2"/>
      <c r="Q9" s="2"/>
      <c r="R9" s="2"/>
      <c r="S9" s="2"/>
      <c r="T9" s="2"/>
      <c r="U9" s="2"/>
      <c r="V9" s="2"/>
      <c r="W9" s="3"/>
    </row>
    <row r="10" spans="1:23" x14ac:dyDescent="0.3">
      <c r="A10" s="2"/>
      <c r="B10" s="2"/>
      <c r="C10" s="2"/>
      <c r="D10" s="2"/>
      <c r="E10" s="2"/>
      <c r="F10" s="2"/>
      <c r="G10" s="2"/>
      <c r="H10" s="2"/>
      <c r="I10" s="2"/>
      <c r="J10" s="2"/>
      <c r="K10" s="2"/>
      <c r="L10" s="2"/>
      <c r="M10" s="2"/>
      <c r="N10" s="2"/>
      <c r="O10" s="2"/>
      <c r="P10" s="2"/>
      <c r="Q10" s="2"/>
      <c r="R10" s="2"/>
      <c r="S10" s="2"/>
      <c r="T10" s="2"/>
      <c r="U10" s="2"/>
      <c r="V10" s="2"/>
      <c r="W10" s="3"/>
    </row>
    <row r="11" spans="1:23" x14ac:dyDescent="0.3">
      <c r="A11" s="2"/>
      <c r="B11" s="2"/>
      <c r="C11" s="2"/>
      <c r="D11" s="2"/>
      <c r="E11" s="2"/>
      <c r="F11" s="2"/>
      <c r="G11" s="2"/>
      <c r="H11" s="2"/>
      <c r="I11" s="2"/>
      <c r="J11" s="2"/>
      <c r="K11" s="2"/>
      <c r="L11" s="2"/>
      <c r="M11" s="2"/>
      <c r="N11" s="2"/>
      <c r="O11" s="2"/>
      <c r="P11" s="2"/>
      <c r="Q11" s="2"/>
      <c r="R11" s="2"/>
      <c r="S11" s="2"/>
      <c r="T11" s="2"/>
      <c r="U11" s="2"/>
      <c r="V11" s="2"/>
      <c r="W11" s="3"/>
    </row>
    <row r="12" spans="1:23" x14ac:dyDescent="0.3">
      <c r="A12" s="2"/>
      <c r="B12" s="2"/>
      <c r="C12" s="2"/>
      <c r="D12" s="2"/>
      <c r="E12" s="2"/>
      <c r="F12" s="2"/>
      <c r="G12" s="2"/>
      <c r="H12" s="2"/>
      <c r="I12" s="2"/>
      <c r="J12" s="2"/>
      <c r="K12" s="2"/>
      <c r="L12" s="2"/>
      <c r="M12" s="2"/>
      <c r="N12" s="2"/>
      <c r="O12" s="2"/>
      <c r="P12" s="2"/>
      <c r="Q12" s="2"/>
      <c r="R12" s="2"/>
      <c r="S12" s="2"/>
      <c r="T12" s="2"/>
      <c r="U12" s="2"/>
      <c r="V12" s="2"/>
      <c r="W12" s="3"/>
    </row>
    <row r="13" spans="1:23" x14ac:dyDescent="0.3">
      <c r="A13" s="2"/>
      <c r="B13" s="2"/>
      <c r="C13" s="2"/>
      <c r="D13" s="2"/>
      <c r="E13" s="2"/>
      <c r="F13" s="2"/>
      <c r="G13" s="2"/>
      <c r="H13" s="2"/>
      <c r="I13" s="2"/>
      <c r="J13" s="2"/>
      <c r="K13" s="2"/>
      <c r="L13" s="2"/>
      <c r="M13" s="2"/>
      <c r="N13" s="2"/>
      <c r="O13" s="2"/>
      <c r="P13" s="2"/>
      <c r="Q13" s="2"/>
      <c r="R13" s="2"/>
      <c r="S13" s="2"/>
      <c r="T13" s="2"/>
      <c r="U13" s="2"/>
      <c r="V13" s="2"/>
      <c r="W13" s="3"/>
    </row>
    <row r="14" spans="1:23" x14ac:dyDescent="0.3">
      <c r="A14" s="2"/>
      <c r="B14" s="2"/>
      <c r="C14" s="2"/>
      <c r="D14" s="2"/>
      <c r="E14" s="2"/>
      <c r="F14" s="2"/>
      <c r="G14" s="2"/>
      <c r="H14" s="2"/>
      <c r="I14" s="2"/>
      <c r="J14" s="2"/>
      <c r="K14" s="2"/>
      <c r="L14" s="2"/>
      <c r="M14" s="2"/>
      <c r="N14" s="2"/>
      <c r="O14" s="2"/>
      <c r="P14" s="2"/>
      <c r="Q14" s="2"/>
      <c r="R14" s="2"/>
      <c r="S14" s="2"/>
      <c r="T14" s="2"/>
      <c r="U14" s="2"/>
      <c r="V14" s="2"/>
      <c r="W14" s="3"/>
    </row>
    <row r="15" spans="1:23" x14ac:dyDescent="0.3">
      <c r="A15" s="2"/>
      <c r="B15" s="2"/>
      <c r="C15" s="2"/>
      <c r="D15" s="2"/>
      <c r="E15" s="2"/>
      <c r="F15" s="2"/>
      <c r="G15" s="2"/>
      <c r="H15" s="2"/>
      <c r="I15" s="2"/>
      <c r="J15" s="2"/>
      <c r="K15" s="2"/>
      <c r="L15" s="2"/>
      <c r="M15" s="2"/>
      <c r="N15" s="2"/>
      <c r="O15" s="2"/>
      <c r="P15" s="2"/>
      <c r="Q15" s="2"/>
      <c r="R15" s="2"/>
      <c r="S15" s="2"/>
      <c r="T15" s="2"/>
      <c r="U15" s="2"/>
      <c r="V15" s="2"/>
      <c r="W15" s="3"/>
    </row>
    <row r="16" spans="1:23" x14ac:dyDescent="0.3">
      <c r="A16" s="2"/>
      <c r="B16" s="2"/>
      <c r="C16" s="2"/>
      <c r="D16" s="2"/>
      <c r="E16" s="2"/>
      <c r="F16" s="2"/>
      <c r="G16" s="2"/>
      <c r="H16" s="2"/>
      <c r="I16" s="2"/>
      <c r="J16" s="2"/>
      <c r="K16" s="2"/>
      <c r="L16" s="2"/>
      <c r="M16" s="2"/>
      <c r="N16" s="2"/>
      <c r="O16" s="2"/>
      <c r="P16" s="2"/>
      <c r="Q16" s="2"/>
      <c r="R16" s="2"/>
      <c r="S16" s="2"/>
      <c r="T16" s="2"/>
      <c r="U16" s="2"/>
      <c r="V16" s="2"/>
      <c r="W16" s="3"/>
    </row>
    <row r="17" spans="1:23" x14ac:dyDescent="0.3">
      <c r="A17" s="2"/>
      <c r="B17" s="2"/>
      <c r="C17" s="2"/>
      <c r="D17" s="2"/>
      <c r="E17" s="2"/>
      <c r="F17" s="2"/>
      <c r="G17" s="2"/>
      <c r="H17" s="2"/>
      <c r="I17" s="2"/>
      <c r="J17" s="2"/>
      <c r="K17" s="2"/>
      <c r="L17" s="2"/>
      <c r="M17" s="2"/>
      <c r="N17" s="2"/>
      <c r="O17" s="2"/>
      <c r="P17" s="2"/>
      <c r="Q17" s="2"/>
      <c r="R17" s="2"/>
      <c r="S17" s="2"/>
      <c r="T17" s="2"/>
      <c r="U17" s="2"/>
      <c r="V17" s="2"/>
      <c r="W17" s="3"/>
    </row>
    <row r="18" spans="1:23" x14ac:dyDescent="0.3">
      <c r="A18" s="2"/>
      <c r="B18" s="2"/>
      <c r="C18" s="2"/>
      <c r="D18" s="2"/>
      <c r="E18" s="2"/>
      <c r="F18" s="2"/>
      <c r="G18" s="2"/>
      <c r="H18" s="2"/>
      <c r="I18" s="2"/>
      <c r="J18" s="2"/>
      <c r="K18" s="2"/>
      <c r="L18" s="2"/>
      <c r="M18" s="2"/>
      <c r="N18" s="2"/>
      <c r="O18" s="2"/>
      <c r="P18" s="2"/>
      <c r="Q18" s="2"/>
      <c r="R18" s="2"/>
      <c r="S18" s="2"/>
      <c r="T18" s="2"/>
      <c r="U18" s="2"/>
      <c r="V18" s="2"/>
      <c r="W18" s="3"/>
    </row>
    <row r="19" spans="1:23" x14ac:dyDescent="0.3">
      <c r="A19" s="2"/>
      <c r="B19" s="2"/>
      <c r="C19" s="2"/>
      <c r="D19" s="2"/>
      <c r="E19" s="2"/>
      <c r="F19" s="2"/>
      <c r="G19" s="2"/>
      <c r="H19" s="2"/>
      <c r="I19" s="2"/>
      <c r="J19" s="2"/>
      <c r="K19" s="2"/>
      <c r="L19" s="2"/>
      <c r="M19" s="2"/>
      <c r="N19" s="2"/>
      <c r="O19" s="2"/>
      <c r="P19" s="2"/>
      <c r="Q19" s="2"/>
      <c r="R19" s="2"/>
      <c r="S19" s="2"/>
      <c r="T19" s="2"/>
      <c r="U19" s="2"/>
      <c r="V19" s="2"/>
      <c r="W19" s="3"/>
    </row>
    <row r="20" spans="1:23" x14ac:dyDescent="0.3">
      <c r="A20" s="2"/>
      <c r="B20" s="2"/>
      <c r="C20" s="2"/>
      <c r="D20" s="2"/>
      <c r="E20" s="2"/>
      <c r="F20" s="2"/>
      <c r="G20" s="2"/>
      <c r="H20" s="2"/>
      <c r="I20" s="2"/>
      <c r="J20" s="2"/>
      <c r="K20" s="2"/>
      <c r="L20" s="2"/>
      <c r="M20" s="2"/>
      <c r="N20" s="2"/>
      <c r="O20" s="2"/>
      <c r="P20" s="2"/>
      <c r="Q20" s="2"/>
      <c r="R20" s="2"/>
      <c r="S20" s="2"/>
      <c r="T20" s="2"/>
      <c r="U20" s="2"/>
      <c r="V20" s="2"/>
      <c r="W20" s="3"/>
    </row>
    <row r="21" spans="1:23" x14ac:dyDescent="0.3">
      <c r="A21" s="2"/>
      <c r="B21" s="2"/>
      <c r="C21" s="2"/>
      <c r="D21" s="2"/>
      <c r="E21" s="2"/>
      <c r="F21" s="2"/>
      <c r="G21" s="2"/>
      <c r="H21" s="2"/>
      <c r="I21" s="2"/>
      <c r="J21" s="2"/>
      <c r="K21" s="2"/>
      <c r="L21" s="2"/>
      <c r="M21" s="2"/>
      <c r="N21" s="2"/>
      <c r="O21" s="2"/>
      <c r="P21" s="2"/>
      <c r="Q21" s="2"/>
      <c r="R21" s="2"/>
      <c r="S21" s="2"/>
      <c r="T21" s="2"/>
      <c r="U21" s="2"/>
      <c r="V21" s="2"/>
      <c r="W21" s="3"/>
    </row>
    <row r="22" spans="1:23" x14ac:dyDescent="0.3">
      <c r="A22" s="2"/>
      <c r="B22" s="2"/>
      <c r="C22" s="2"/>
      <c r="D22" s="2"/>
      <c r="E22" s="2"/>
      <c r="F22" s="2"/>
      <c r="G22" s="2"/>
      <c r="H22" s="2"/>
      <c r="I22" s="2"/>
      <c r="J22" s="2"/>
      <c r="K22" s="2"/>
      <c r="L22" s="2"/>
      <c r="M22" s="2"/>
      <c r="N22" s="2"/>
      <c r="O22" s="2"/>
      <c r="P22" s="2"/>
      <c r="Q22" s="2"/>
      <c r="R22" s="2"/>
      <c r="S22" s="2"/>
      <c r="T22" s="2"/>
      <c r="U22" s="2"/>
      <c r="V22" s="2"/>
      <c r="W22" s="3"/>
    </row>
    <row r="23" spans="1:23" x14ac:dyDescent="0.3">
      <c r="A23" s="2"/>
      <c r="B23" s="2"/>
      <c r="C23" s="2"/>
      <c r="D23" s="2"/>
      <c r="E23" s="2"/>
      <c r="F23" s="2"/>
      <c r="G23" s="2"/>
      <c r="H23" s="2"/>
      <c r="I23" s="2"/>
      <c r="J23" s="2"/>
      <c r="K23" s="2"/>
      <c r="L23" s="2"/>
      <c r="M23" s="2"/>
      <c r="N23" s="2"/>
      <c r="O23" s="2"/>
      <c r="P23" s="2"/>
      <c r="Q23" s="2"/>
      <c r="R23" s="2"/>
      <c r="S23" s="2"/>
      <c r="T23" s="2"/>
      <c r="U23" s="2"/>
      <c r="V23" s="2"/>
      <c r="W23" s="3"/>
    </row>
    <row r="24" spans="1:23" x14ac:dyDescent="0.3">
      <c r="A24" s="2"/>
      <c r="B24" s="2"/>
      <c r="C24" s="2"/>
      <c r="D24" s="2"/>
      <c r="E24" s="2"/>
      <c r="F24" s="2"/>
      <c r="G24" s="2"/>
      <c r="H24" s="2"/>
      <c r="I24" s="2"/>
      <c r="J24" s="2"/>
      <c r="K24" s="2"/>
      <c r="L24" s="2"/>
      <c r="M24" s="2"/>
      <c r="N24" s="2"/>
      <c r="O24" s="2"/>
      <c r="P24" s="2"/>
      <c r="Q24" s="2"/>
      <c r="R24" s="2"/>
      <c r="S24" s="2"/>
      <c r="T24" s="2"/>
      <c r="U24" s="2"/>
      <c r="V24" s="2"/>
      <c r="W24" s="3"/>
    </row>
    <row r="25" spans="1:23" x14ac:dyDescent="0.3">
      <c r="A25" s="2"/>
      <c r="B25" s="2"/>
      <c r="C25" s="2"/>
      <c r="D25" s="2"/>
      <c r="E25" s="2"/>
      <c r="F25" s="2"/>
      <c r="G25" s="2"/>
      <c r="H25" s="2"/>
      <c r="I25" s="2"/>
      <c r="J25" s="2"/>
      <c r="K25" s="2"/>
      <c r="L25" s="2"/>
      <c r="M25" s="2"/>
      <c r="N25" s="2"/>
      <c r="O25" s="2"/>
      <c r="P25" s="2"/>
      <c r="Q25" s="2"/>
      <c r="R25" s="2"/>
      <c r="S25" s="2"/>
      <c r="T25" s="2"/>
      <c r="U25" s="2"/>
      <c r="V25" s="2"/>
      <c r="W25" s="3"/>
    </row>
    <row r="26" spans="1:23" x14ac:dyDescent="0.3">
      <c r="A26" s="2"/>
      <c r="B26" s="2"/>
      <c r="C26" s="2"/>
      <c r="D26" s="2"/>
      <c r="E26" s="2"/>
      <c r="F26" s="2"/>
      <c r="G26" s="2"/>
      <c r="H26" s="2"/>
      <c r="I26" s="2"/>
      <c r="J26" s="2"/>
      <c r="K26" s="2"/>
      <c r="L26" s="2"/>
      <c r="M26" s="2"/>
      <c r="N26" s="2"/>
      <c r="O26" s="2"/>
      <c r="P26" s="2"/>
      <c r="Q26" s="2"/>
      <c r="R26" s="2"/>
      <c r="S26" s="2"/>
      <c r="T26" s="2"/>
      <c r="U26" s="2"/>
      <c r="V26" s="2"/>
      <c r="W26" s="3"/>
    </row>
    <row r="27" spans="1:23" x14ac:dyDescent="0.3">
      <c r="A27" s="2"/>
      <c r="B27" s="2"/>
      <c r="C27" s="2"/>
      <c r="D27" s="2"/>
      <c r="E27" s="2"/>
      <c r="F27" s="2"/>
      <c r="G27" s="2"/>
      <c r="H27" s="2"/>
      <c r="I27" s="2"/>
      <c r="J27" s="2"/>
      <c r="K27" s="2"/>
      <c r="L27" s="2"/>
      <c r="M27" s="2"/>
      <c r="N27" s="2"/>
      <c r="O27" s="2"/>
      <c r="P27" s="2"/>
      <c r="Q27" s="2"/>
      <c r="R27" s="2"/>
      <c r="S27" s="2"/>
      <c r="T27" s="2"/>
      <c r="U27" s="2"/>
      <c r="V27" s="2"/>
      <c r="W27" s="3"/>
    </row>
    <row r="28" spans="1:23" x14ac:dyDescent="0.3">
      <c r="A28" s="2"/>
      <c r="B28" s="2"/>
      <c r="C28" s="2"/>
      <c r="D28" s="2"/>
      <c r="E28" s="2"/>
      <c r="F28" s="2"/>
      <c r="G28" s="2"/>
      <c r="H28" s="2"/>
      <c r="I28" s="2"/>
      <c r="J28" s="2"/>
      <c r="K28" s="2"/>
      <c r="L28" s="2"/>
      <c r="M28" s="2"/>
      <c r="N28" s="2"/>
      <c r="O28" s="2"/>
      <c r="P28" s="2"/>
      <c r="Q28" s="2"/>
      <c r="R28" s="2"/>
      <c r="S28" s="2"/>
      <c r="T28" s="2"/>
      <c r="U28" s="2"/>
      <c r="V28" s="2"/>
      <c r="W28" s="3"/>
    </row>
    <row r="29" spans="1:23" x14ac:dyDescent="0.3">
      <c r="A29" s="2"/>
      <c r="B29" s="2"/>
      <c r="C29" s="2"/>
      <c r="D29" s="2"/>
      <c r="E29" s="2"/>
      <c r="F29" s="2"/>
      <c r="G29" s="2"/>
      <c r="H29" s="2"/>
      <c r="I29" s="2"/>
      <c r="J29" s="2"/>
      <c r="K29" s="2"/>
      <c r="L29" s="2"/>
      <c r="M29" s="2"/>
      <c r="N29" s="2"/>
      <c r="O29" s="2"/>
      <c r="P29" s="2"/>
      <c r="Q29" s="2"/>
      <c r="R29" s="2"/>
      <c r="S29" s="2"/>
      <c r="T29" s="2"/>
      <c r="U29" s="2"/>
      <c r="V29" s="2"/>
      <c r="W29"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D0FEDAF-6DC4-4C88-9632-FC03F79F347E}">
  <ds:schemaRefs/>
</ds:datastoreItem>
</file>

<file path=customXml/itemProps2.xml><?xml version="1.0" encoding="utf-8"?>
<ds:datastoreItem xmlns:ds="http://schemas.openxmlformats.org/officeDocument/2006/customXml" ds:itemID="{0A402A9E-C9AA-425E-BB01-EE29FF6DACBD}">
  <ds:schemaRefs/>
</ds:datastoreItem>
</file>

<file path=customXml/itemProps3.xml><?xml version="1.0" encoding="utf-8"?>
<ds:datastoreItem xmlns:ds="http://schemas.openxmlformats.org/officeDocument/2006/customXml" ds:itemID="{1FCF16AD-9A21-4969-946B-68FE817DBC17}">
  <ds:schemaRefs/>
</ds:datastoreItem>
</file>

<file path=customXml/itemProps4.xml><?xml version="1.0" encoding="utf-8"?>
<ds:datastoreItem xmlns:ds="http://schemas.openxmlformats.org/officeDocument/2006/customXml" ds:itemID="{5C08FC3C-39AE-483F-B12A-54E6814DBC7E}">
  <ds:schemaRefs/>
</ds:datastoreItem>
</file>

<file path=customXml/itemProps5.xml><?xml version="1.0" encoding="utf-8"?>
<ds:datastoreItem xmlns:ds="http://schemas.openxmlformats.org/officeDocument/2006/customXml" ds:itemID="{19BFEABE-4B78-4487-BE72-FD4131B4FE23}">
  <ds:schemaRefs/>
</ds:datastoreItem>
</file>

<file path=customXml/itemProps6.xml><?xml version="1.0" encoding="utf-8"?>
<ds:datastoreItem xmlns:ds="http://schemas.openxmlformats.org/officeDocument/2006/customXml" ds:itemID="{042AE6E9-A49E-493B-A0B6-A4C11153321E}">
  <ds:schemaRefs>
    <ds:schemaRef ds:uri="http://schemas.microsoft.com/DataMashup"/>
  </ds:schemaRefs>
</ds:datastoreItem>
</file>

<file path=customXml/itemProps7.xml><?xml version="1.0" encoding="utf-8"?>
<ds:datastoreItem xmlns:ds="http://schemas.openxmlformats.org/officeDocument/2006/customXml" ds:itemID="{1FC4E3EB-D649-4147-9E6A-DA34790FF35C}">
  <ds:schemaRefs/>
</ds:datastoreItem>
</file>

<file path=customXml/itemProps8.xml><?xml version="1.0" encoding="utf-8"?>
<ds:datastoreItem xmlns:ds="http://schemas.openxmlformats.org/officeDocument/2006/customXml" ds:itemID="{9FF59E4B-6188-4AE1-BC9A-32D059F84C20}">
  <ds:schemaRefs/>
</ds:datastoreItem>
</file>

<file path=customXml/itemProps9.xml><?xml version="1.0" encoding="utf-8"?>
<ds:datastoreItem xmlns:ds="http://schemas.openxmlformats.org/officeDocument/2006/customXml" ds:itemID="{2CF3304E-A836-400F-B8F9-FA217E7DCE3D}">
  <ds:schemaRefs/>
</ds:datastoreItem>
</file>

<file path=customXml/itemProps10.xml><?xml version="1.0" encoding="utf-8"?>
<ds:datastoreItem xmlns:ds="http://schemas.openxmlformats.org/officeDocument/2006/customXml" ds:itemID="{F9CC0A90-6C0D-41A5-B950-7AC719D6000E}">
  <ds:schemaRefs/>
</ds:datastoreItem>
</file>

<file path=customXml/itemProps11.xml><?xml version="1.0" encoding="utf-8"?>
<ds:datastoreItem xmlns:ds="http://schemas.openxmlformats.org/officeDocument/2006/customXml" ds:itemID="{F0A22F89-74C8-4469-BA3A-02E7727EF7E9}">
  <ds:schemaRefs/>
</ds:datastoreItem>
</file>

<file path=customXml/itemProps12.xml><?xml version="1.0" encoding="utf-8"?>
<ds:datastoreItem xmlns:ds="http://schemas.openxmlformats.org/officeDocument/2006/customXml" ds:itemID="{9D707AE8-3EE5-4F6F-AD16-9B6EFDB76850}">
  <ds:schemaRefs/>
</ds:datastoreItem>
</file>

<file path=customXml/itemProps13.xml><?xml version="1.0" encoding="utf-8"?>
<ds:datastoreItem xmlns:ds="http://schemas.openxmlformats.org/officeDocument/2006/customXml" ds:itemID="{255B0C2A-5988-40E8-8481-7911B33B238B}">
  <ds:schemaRefs/>
</ds:datastoreItem>
</file>

<file path=customXml/itemProps14.xml><?xml version="1.0" encoding="utf-8"?>
<ds:datastoreItem xmlns:ds="http://schemas.openxmlformats.org/officeDocument/2006/customXml" ds:itemID="{06E8E1A2-2AB4-47DC-B4B0-823FEE696E76}">
  <ds:schemaRefs/>
</ds:datastoreItem>
</file>

<file path=customXml/itemProps15.xml><?xml version="1.0" encoding="utf-8"?>
<ds:datastoreItem xmlns:ds="http://schemas.openxmlformats.org/officeDocument/2006/customXml" ds:itemID="{E4F9D70C-9FC1-40A4-9372-D3AD39645538}">
  <ds:schemaRefs/>
</ds:datastoreItem>
</file>

<file path=customXml/itemProps16.xml><?xml version="1.0" encoding="utf-8"?>
<ds:datastoreItem xmlns:ds="http://schemas.openxmlformats.org/officeDocument/2006/customXml" ds:itemID="{306088D9-1CE7-4CBB-8F66-BD366E445505}">
  <ds:schemaRefs/>
</ds:datastoreItem>
</file>

<file path=customXml/itemProps17.xml><?xml version="1.0" encoding="utf-8"?>
<ds:datastoreItem xmlns:ds="http://schemas.openxmlformats.org/officeDocument/2006/customXml" ds:itemID="{CCE16151-8F69-458E-B5F6-56DC031D46BF}">
  <ds:schemaRefs/>
</ds:datastoreItem>
</file>

<file path=customXml/itemProps18.xml><?xml version="1.0" encoding="utf-8"?>
<ds:datastoreItem xmlns:ds="http://schemas.openxmlformats.org/officeDocument/2006/customXml" ds:itemID="{5070E325-EEF8-4BC9-AAFD-98DE578A28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Gutte</dc:creator>
  <cp:lastModifiedBy>Pranjal Gutte</cp:lastModifiedBy>
  <dcterms:created xsi:type="dcterms:W3CDTF">2026-07-25T13:30:27Z</dcterms:created>
  <dcterms:modified xsi:type="dcterms:W3CDTF">2026-08-18T03:44:54Z</dcterms:modified>
</cp:coreProperties>
</file>